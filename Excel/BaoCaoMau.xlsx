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ÁO CÁO THUẾ CHO DOANH NGHIỆP\"/>
    </mc:Choice>
  </mc:AlternateContent>
  <bookViews>
    <workbookView xWindow="8385" yWindow="615" windowWidth="14280" windowHeight="9630"/>
  </bookViews>
  <sheets>
    <sheet name="VAT declaration " sheetId="4" r:id="rId1"/>
    <sheet name="02 GTGT đầu vào" sheetId="2" r:id="rId2"/>
    <sheet name="01 GTGT bán ra" sheetId="1" r:id="rId3"/>
  </sheets>
  <definedNames>
    <definedName name="_xlnm._FilterDatabase" localSheetId="2" hidden="1">'01 GTGT bán ra'!$A$10:$M$25</definedName>
    <definedName name="_xlnm.Print_Area" localSheetId="0">'VAT declaration '!$A$1:$K$52</definedName>
  </definedNames>
  <calcPr calcId="152511"/>
</workbook>
</file>

<file path=xl/calcChain.xml><?xml version="1.0" encoding="utf-8"?>
<calcChain xmlns="http://schemas.openxmlformats.org/spreadsheetml/2006/main">
  <c r="L30" i="2" l="1"/>
  <c r="M17" i="2"/>
  <c r="M18" i="2"/>
  <c r="M19" i="2"/>
  <c r="M20" i="2"/>
  <c r="M21" i="2"/>
  <c r="M22" i="2"/>
  <c r="M23" i="2"/>
  <c r="M24" i="2"/>
  <c r="M25" i="2"/>
  <c r="M26" i="2"/>
  <c r="M27" i="2"/>
  <c r="M16" i="2"/>
  <c r="J30" i="2"/>
  <c r="J44" i="2" s="1"/>
  <c r="N26" i="2"/>
  <c r="N17" i="2"/>
  <c r="N18" i="2"/>
  <c r="N19" i="2"/>
  <c r="N20" i="2"/>
  <c r="N21" i="2"/>
  <c r="N22" i="2"/>
  <c r="N16" i="2"/>
  <c r="N24" i="2"/>
  <c r="N25" i="2"/>
  <c r="N27" i="2"/>
  <c r="N23" i="2"/>
  <c r="K24" i="1"/>
  <c r="J24" i="1"/>
  <c r="L23" i="1"/>
  <c r="L22" i="1"/>
  <c r="M30" i="2" l="1"/>
  <c r="J45" i="2" s="1"/>
  <c r="N30" i="2"/>
  <c r="K20" i="4"/>
  <c r="L24" i="1"/>
  <c r="I19" i="4"/>
  <c r="K26" i="4"/>
  <c r="I26" i="4"/>
  <c r="I24" i="4"/>
  <c r="L17" i="1" l="1"/>
  <c r="I43" i="4"/>
  <c r="K19" i="4" l="1"/>
  <c r="J30" i="1" l="1"/>
  <c r="I23" i="4"/>
  <c r="I27" i="4" s="1"/>
  <c r="J31" i="1"/>
  <c r="K23" i="4"/>
  <c r="K27" i="4" s="1"/>
  <c r="J29" i="1"/>
  <c r="K28" i="4" l="1"/>
  <c r="K37" i="4" s="1"/>
  <c r="K39" i="4" s="1"/>
  <c r="K34" i="4" l="1"/>
  <c r="K36" i="4" s="1"/>
</calcChain>
</file>

<file path=xl/sharedStrings.xml><?xml version="1.0" encoding="utf-8"?>
<sst xmlns="http://schemas.openxmlformats.org/spreadsheetml/2006/main" count="281" uniqueCount="227">
  <si>
    <t xml:space="preserve">MST: </t>
  </si>
  <si>
    <t xml:space="preserve">BẢNG KÊ HÓA ĐƠN, CHỨNG TỪ HÀNG HÓA, DỊCH VỤ BÁN RA </t>
  </si>
  <si>
    <t>Đơn vị tiền: VND</t>
  </si>
  <si>
    <t>STT</t>
  </si>
  <si>
    <t>Hóa đơn, chứng từ bán ra</t>
  </si>
  <si>
    <t>Tên người mua</t>
  </si>
  <si>
    <t>Mã số thuế người mua</t>
  </si>
  <si>
    <t>Mặt hàng</t>
  </si>
  <si>
    <t>Doanh thu chưa có thuế GTGT</t>
  </si>
  <si>
    <t>Thuế GTGT</t>
  </si>
  <si>
    <t>Tổng tiền</t>
  </si>
  <si>
    <t>Ghi chú</t>
  </si>
  <si>
    <t>Mã hóa đơn</t>
  </si>
  <si>
    <t>Số hóa đơn</t>
  </si>
  <si>
    <t xml:space="preserve">Ngày, tháng, năm lập hóa đơn </t>
  </si>
  <si>
    <t xml:space="preserve"> 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</si>
  <si>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</si>
  <si>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</si>
  <si>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</si>
  <si>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</si>
  <si>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</si>
  <si>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</si>
  <si>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</si>
  <si>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</si>
  <si>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</si>
  <si>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</si>
  <si>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1. Hàng hóa, dịch vụ không chịu thuế giá trị gia tăng (GTGT):</t>
  </si>
  <si>
    <t/>
  </si>
  <si>
    <t>Tổng</t>
  </si>
  <si>
    <t xml:space="preserve"> 2. Hàng hóa, dịch vụ chịu thuế suất thuế GTGT 0%:</t>
  </si>
  <si>
    <t xml:space="preserve"> 3. Hàng hóa, dịch vụ chịu thuế suất thuế GTGT 5%:</t>
  </si>
  <si>
    <t xml:space="preserve"> 4. Hàng hóa, dịch vụ chịu thuế suất thuế GTGT 10%:</t>
  </si>
  <si>
    <t>5. Hàng hóa, dịch vụ không phải tổng hợp lên tờ khai 01 GTGT:</t>
  </si>
  <si>
    <t xml:space="preserve">Tổng giá trị HHDV bán ra (*):              </t>
  </si>
  <si>
    <t>VND</t>
  </si>
  <si>
    <t xml:space="preserve">Tổng giá trị HHDV chịu thuế GTGT (**):   </t>
  </si>
  <si>
    <t>Tổng số thuế GTGT của HHDV bán ra: (***):</t>
  </si>
  <si>
    <t>Tôi xin cam đoan số liệu trên là đúng và chịu trách nhiệm trước pháp luật về những số liệu đã khai./…</t>
  </si>
  <si>
    <t>NHÂN VIÊN ĐẠI LÝ THUẾ</t>
  </si>
  <si>
    <t>Họ tên:</t>
  </si>
  <si>
    <t>NGƯỜI NỘP THUẾ hoặc</t>
  </si>
  <si>
    <t>Chứng chỉ hành nghề số:</t>
  </si>
  <si>
    <t>ĐẠI DIỆN HỢP PHÁP CỦA NGƯỜI NỘP THUẾ</t>
  </si>
  <si>
    <t xml:space="preserve"> Ký tên, đóng dấu (ghi rõ họ tên và chức vụ)</t>
  </si>
  <si>
    <t xml:space="preserve">Ghi chú: </t>
  </si>
  <si>
    <t>- GTGT: Giá trị gia tăng</t>
  </si>
  <si>
    <t>- HHDV: Hàng hóa dịch vụ</t>
  </si>
  <si>
    <t>(*) Tổng giá trị HHDV bán ra là tổng số liệu cột 8 của các dòng tổng 1, 2, 3, 4</t>
  </si>
  <si>
    <t>(*) Tổng giá trị HHDV chịu thuế GTGT là tổng số liệu cột 8 của các dòng tổng 2, 3, 4</t>
  </si>
  <si>
    <t>(*) Tổng số thuế GTGT của HHDV bán ra là tổng số liệu cột 9 của các dòng tổng 2, 3, 4</t>
  </si>
  <si>
    <t>Unit: VND</t>
  </si>
  <si>
    <r>
      <t xml:space="preserve">STT
</t>
    </r>
    <r>
      <rPr>
        <b/>
        <sz val="11"/>
        <color indexed="12"/>
        <rFont val="Times New Roman"/>
        <family val="1"/>
      </rPr>
      <t>No.</t>
    </r>
  </si>
  <si>
    <r>
      <t>Hóa đơn</t>
    </r>
    <r>
      <rPr>
        <b/>
        <sz val="11"/>
        <color indexed="12"/>
        <rFont val="Times New Roman"/>
        <family val="1"/>
      </rPr>
      <t>/Invoice</t>
    </r>
  </si>
  <si>
    <r>
      <t xml:space="preserve">Tên người bán
</t>
    </r>
    <r>
      <rPr>
        <b/>
        <sz val="11"/>
        <color indexed="12"/>
        <rFont val="Times New Roman"/>
        <family val="1"/>
      </rPr>
      <t>Suppliers</t>
    </r>
  </si>
  <si>
    <r>
      <t xml:space="preserve">Mã số thuế người bán
</t>
    </r>
    <r>
      <rPr>
        <b/>
        <sz val="11"/>
        <color indexed="12"/>
        <rFont val="Times New Roman"/>
        <family val="1"/>
      </rPr>
      <t>Tax code</t>
    </r>
  </si>
  <si>
    <r>
      <t xml:space="preserve">Mặt hàng
</t>
    </r>
    <r>
      <rPr>
        <b/>
        <sz val="11"/>
        <color indexed="12"/>
        <rFont val="Times New Roman"/>
        <family val="1"/>
      </rPr>
      <t>Goods</t>
    </r>
  </si>
  <si>
    <r>
      <t xml:space="preserve">Doanh số mua chưa có thuế
</t>
    </r>
    <r>
      <rPr>
        <b/>
        <sz val="11"/>
        <color indexed="12"/>
        <rFont val="Times New Roman"/>
        <family val="1"/>
      </rPr>
      <t>Amount</t>
    </r>
  </si>
  <si>
    <r>
      <t xml:space="preserve">Thuế suất
</t>
    </r>
    <r>
      <rPr>
        <b/>
        <sz val="11"/>
        <color indexed="12"/>
        <rFont val="Times New Roman"/>
        <family val="1"/>
      </rPr>
      <t>Tax</t>
    </r>
  </si>
  <si>
    <r>
      <t xml:space="preserve">Tiền thuế
</t>
    </r>
    <r>
      <rPr>
        <b/>
        <sz val="11"/>
        <color indexed="12"/>
        <rFont val="Times New Roman"/>
        <family val="1"/>
      </rPr>
      <t>VAT amount</t>
    </r>
  </si>
  <si>
    <t>Tổng/ Total</t>
  </si>
  <si>
    <r>
      <t xml:space="preserve">Ghi chú
</t>
    </r>
    <r>
      <rPr>
        <b/>
        <sz val="11"/>
        <color indexed="12"/>
        <rFont val="Times New Roman"/>
        <family val="1"/>
      </rPr>
      <t>Notes</t>
    </r>
  </si>
  <si>
    <t>Ký hiệu mẫu hóa đơn</t>
  </si>
  <si>
    <t>Ký hiệu hoá đơn</t>
  </si>
  <si>
    <r>
      <t xml:space="preserve">Số hoá đơn
</t>
    </r>
    <r>
      <rPr>
        <b/>
        <sz val="11"/>
        <color indexed="12"/>
        <rFont val="Times New Roman"/>
        <family val="1"/>
      </rPr>
      <t>Invoice No.</t>
    </r>
  </si>
  <si>
    <r>
      <t xml:space="preserve">Ngày HĐ
</t>
    </r>
    <r>
      <rPr>
        <b/>
        <sz val="11"/>
        <color indexed="12"/>
        <rFont val="Times New Roman"/>
        <family val="1"/>
      </rPr>
      <t>Date</t>
    </r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</si>
  <si>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</si>
  <si>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</si>
  <si>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</si>
  <si>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</si>
  <si>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</si>
  <si>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</si>
  <si>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</si>
  <si>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</si>
  <si>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</si>
  <si>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</si>
  <si>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</si>
  <si>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</si>
  <si>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1. Hàng hóa, dịch vụ sử dụng cho hoạt động sản xuất kinh doanh đủ điều kiện khấu trừ thuế:</t>
  </si>
  <si>
    <r>
      <t xml:space="preserve">Tổng/ </t>
    </r>
    <r>
      <rPr>
        <b/>
        <sz val="11"/>
        <color indexed="12"/>
        <rFont val="Times New Roman"/>
        <family val="1"/>
      </rPr>
      <t>Total</t>
    </r>
  </si>
  <si>
    <t>2. Hàng hoá, dịch vụ không đủ điều kiện khấu trừ:</t>
  </si>
  <si>
    <t>3. Hàng hoá, dịch vụ dùng chung cho SXKD chịu thuế và không chịu thuế đủ điều kiện khấu trừ thuế:</t>
  </si>
  <si>
    <t>4. Hàng hóa, dịch vụ dùng cho dự án đầu tư đủ điều kiện được khấu trừ thuế (*):</t>
  </si>
  <si>
    <t>5. Hàng hóa, dịch vụ không phải tổng hợp trên tờ khai 01/GTGT:</t>
  </si>
  <si>
    <t xml:space="preserve">Tổng giá trị HHDV mua vào phục vụ SXKD được khấu trừ thuế GTGT (*):              </t>
  </si>
  <si>
    <t xml:space="preserve">Tổng số thuế GTGT của HHDV mua vào đủ điều kiện được khấu trừ (**):   </t>
  </si>
  <si>
    <t>Ghi chú:</t>
  </si>
  <si>
    <t>(*) Tổng giá trị HHDV mua vào phục vụ SXKD được khấu trừ thuế GTGT là tổng số liệu cột 9 của các hàng tổng 1, 2, 3, 4</t>
  </si>
  <si>
    <t>(**) Tổng số thuế GTGT của HHDV mua vào đủ điều kiện được khấu trừ là tổng số liệu cột 11 của các hàng tổng 1, 2, 3, 4</t>
  </si>
  <si>
    <t xml:space="preserve">                     CỘNG HÒA XÃ HỘI CHỦ NGHĨA VIỆT NAM</t>
  </si>
  <si>
    <t xml:space="preserve">Mẫu số: 01/GTGT
(Ban hành kèm theo Thông tư số 26/2015/TT-BTC ngày 27/02/2015 của Bộ Tài chính) 
</t>
  </si>
  <si>
    <t xml:space="preserve">                      Độc lập-Tự do-Hạnh phúc</t>
  </si>
  <si>
    <t>TỜ KHAI THUẾ GIÁ TRỊ GIA TĂNG (MẫU SỐ 01/GTGT)</t>
  </si>
  <si>
    <t>[02] Lần đầu</t>
  </si>
  <si>
    <t>X</t>
  </si>
  <si>
    <t xml:space="preserve">[03] Bổ sung lần thứ: [ ] </t>
  </si>
  <si>
    <t>[08] Tỉnh/Thành phố: HCM</t>
  </si>
  <si>
    <t xml:space="preserve">[09] Tel:      </t>
  </si>
  <si>
    <t>[10] Fax:</t>
  </si>
  <si>
    <t>[11] Email:</t>
  </si>
  <si>
    <t xml:space="preserve">Unit: VND </t>
  </si>
  <si>
    <t>No.</t>
  </si>
  <si>
    <t>Chỉ tiêu</t>
  </si>
  <si>
    <t>Giá trị HHDV
 (chưa có thuế GTGT)</t>
  </si>
  <si>
    <t xml:space="preserve">Thuế GTGT </t>
  </si>
  <si>
    <t>A</t>
  </si>
  <si>
    <t>Không phát sinh hoạt động mua, bán trong kỳ (đánh dấu "X")</t>
  </si>
  <si>
    <r>
      <rPr>
        <sz val="10"/>
        <rFont val="Times New Roman"/>
        <family val="1"/>
      </rPr>
      <t xml:space="preserve">[21]   </t>
    </r>
    <r>
      <rPr>
        <b/>
        <sz val="12"/>
        <rFont val="Times New Roman"/>
        <family val="1"/>
      </rPr>
      <t xml:space="preserve"> </t>
    </r>
  </si>
  <si>
    <t>B</t>
  </si>
  <si>
    <t xml:space="preserve">B Thuế GTGT còn được khấu trừ kỳ trước chuyển sang </t>
  </si>
  <si>
    <t>[22]</t>
  </si>
  <si>
    <t>C</t>
  </si>
  <si>
    <t xml:space="preserve"> Kê khai thuế GTGT phải nộp Ngân sách nhà nước </t>
  </si>
  <si>
    <t xml:space="preserve"> Hàng hoá, dịch vụ (HHDV) mua vào trong kỳ </t>
  </si>
  <si>
    <t>[23]</t>
  </si>
  <si>
    <t>[24]</t>
  </si>
  <si>
    <t xml:space="preserve"> Tổng số thuế GTGT được khấu trừ kỳ này </t>
  </si>
  <si>
    <t>[25]</t>
  </si>
  <si>
    <t>II</t>
  </si>
  <si>
    <t>Hàng hoá, dịch vụ bán ra trong kỳ</t>
  </si>
  <si>
    <t xml:space="preserve">Hàng hóa, dịch vụ bán ra không chịu thuế GTGT </t>
  </si>
  <si>
    <t>[26]</t>
  </si>
  <si>
    <t xml:space="preserve"> Hàng hóa, dịch vụ bán ra chịu thuế GTGT ([27]=[29]+[30]+[32]+[32a]; [28]=[31]+[33]) </t>
  </si>
  <si>
    <t>[27]</t>
  </si>
  <si>
    <t>[28]</t>
  </si>
  <si>
    <t>a</t>
  </si>
  <si>
    <t>Hàng hoá, dịch vụ bán ra chịu thuế suất 0%</t>
  </si>
  <si>
    <t>[29]</t>
  </si>
  <si>
    <t>b</t>
  </si>
  <si>
    <t xml:space="preserve"> Hàng hoá, dịch vụ bán ra chịu thuế suất 5% </t>
  </si>
  <si>
    <t>[30]</t>
  </si>
  <si>
    <t>[31]</t>
  </si>
  <si>
    <t>c</t>
  </si>
  <si>
    <t xml:space="preserve"> Hàng hoá, dịch vụ bán ra chịu thuế suất 10% </t>
  </si>
  <si>
    <t>[32]</t>
  </si>
  <si>
    <t>[33]</t>
  </si>
  <si>
    <t>Tổng doanh thu và thuế GTGT của HHDV bán ra ([34]=[26]+[27]; [35]=[28])</t>
  </si>
  <si>
    <t>[34]</t>
  </si>
  <si>
    <t>[35]</t>
  </si>
  <si>
    <t>III</t>
  </si>
  <si>
    <t xml:space="preserve">Thuế GTGT phát sinh trong kỳ ([36]=[35]-[25]) </t>
  </si>
  <si>
    <t>[36]</t>
  </si>
  <si>
    <t>IV</t>
  </si>
  <si>
    <t xml:space="preserve">Điều chỉnh tăng, giảm thuế GTGT còn được khấu trừ của các kỳ trước </t>
  </si>
  <si>
    <t xml:space="preserve">Điều chỉnh giảm </t>
  </si>
  <si>
    <t>[37]</t>
  </si>
  <si>
    <t xml:space="preserve">Điều chỉnh tăng </t>
  </si>
  <si>
    <t>[38]</t>
  </si>
  <si>
    <t>V</t>
  </si>
  <si>
    <t>Thuế GTGT đã nộp ở địa phương khác của hoạt động kinh doanh xây dựng, lắp đặt, bán hàng, bất động sản ngoại tỉnh</t>
  </si>
  <si>
    <t>[39]</t>
  </si>
  <si>
    <t>VI</t>
  </si>
  <si>
    <t xml:space="preserve">Xác định nghĩa vụ thuế GTGT phải nộp trong kỳ: </t>
  </si>
  <si>
    <t>Thuế GTGT phải nộp của hoạt động sản xuất kinh doanh trong kỳ ([40a]=[36]-[22]+[37]-[38] - [39]≥ 0)</t>
  </si>
  <si>
    <t>[40a]</t>
  </si>
  <si>
    <t>Thuế GTGT mua vào của dự án đầu tư được bù trừ với thuế GTGT còn phải nộp của hoạt động sản xuất kinh doanh cùng kỳ tính thuế</t>
  </si>
  <si>
    <t>[40b]</t>
  </si>
  <si>
    <t>Thuế GTGT còn phải nộp trong kỳ ([40]=[40a]-[40b])</t>
  </si>
  <si>
    <t>[40]</t>
  </si>
  <si>
    <t>Thuế GTGT chưa khấu trừ hết kỳ này (nếu [41]=[36]-[22]+[37]-[38]-[39] &lt; 0)</t>
  </si>
  <si>
    <t>[41]</t>
  </si>
  <si>
    <t xml:space="preserve"> Tổng số thuế GTGT đề nghị hoàn </t>
  </si>
  <si>
    <t>[42]</t>
  </si>
  <si>
    <t>Thuế GTGT còn được khấu trừ chuyển kỳ sau ([43]=[41]-[42])</t>
  </si>
  <si>
    <t>[43]</t>
  </si>
  <si>
    <t xml:space="preserve">Tôi cam đoan số liệu khai trên là đúng và chịu trách nhiệm trước pháp luật về những số liệu đã khai./... </t>
  </si>
  <si>
    <t xml:space="preserve">HCMC, </t>
  </si>
  <si>
    <t xml:space="preserve">Authorized representative of enterprise </t>
  </si>
  <si>
    <t>Signed and sealed</t>
  </si>
  <si>
    <t xml:space="preserve">Ngày  tháng  năm </t>
  </si>
  <si>
    <t xml:space="preserve">Ngày tháng  năm </t>
  </si>
  <si>
    <t>BẢNG KÊ HOÁ ĐƠN, CHỨNG TỪ HÀNG HOÁ, DỊCH VỤ MUA VÀO Q1/2022</t>
  </si>
  <si>
    <t>Ký hiệu hóa đơn</t>
  </si>
  <si>
    <t>LIST OF VAT input INVOICE IN Q4/2022</t>
  </si>
  <si>
    <t>Quý 4/2022</t>
  </si>
  <si>
    <t>[04] Tên người nộp thuế:  CÔNG TY TNHH SAIGON HANGUL SCHOOL</t>
  </si>
  <si>
    <t>[05] Mã số thuế: 0316326456</t>
  </si>
  <si>
    <t>Tiền thuế được khấu trừ</t>
  </si>
  <si>
    <t>Tập đoàn Công nghiệp - Viễn thông Quân đội</t>
  </si>
  <si>
    <t>0100109106</t>
  </si>
  <si>
    <t>[01] Kỳ tính thuế: Quý 3 năm 2025</t>
  </si>
  <si>
    <t>K25DAB</t>
  </si>
  <si>
    <t>K25TAA</t>
  </si>
  <si>
    <t>Phí dịch vụ viễn thông</t>
  </si>
  <si>
    <t>[04] Tên người nộp thu :   CÔNG TY TNHH CRABI</t>
  </si>
  <si>
    <r>
      <t xml:space="preserve">[05] Mã số thuế:       </t>
    </r>
    <r>
      <rPr>
        <b/>
        <sz val="10"/>
        <rFont val="Times New Roman"/>
        <family val="1"/>
      </rPr>
      <t>0319154011</t>
    </r>
  </si>
  <si>
    <t>[06] Địa chỉ: 9 Đường Số 6, Phường Bình Tân</t>
  </si>
  <si>
    <t>[07] Quận/Huyện:</t>
  </si>
  <si>
    <t>C25MTT</t>
  </si>
  <si>
    <t>45223</t>
  </si>
  <si>
    <t>23/09/2025</t>
  </si>
  <si>
    <t>CÔNG TY CỔ PHẦN THƯƠNG MẠI CC</t>
  </si>
  <si>
    <t>0317618571</t>
  </si>
  <si>
    <t>74099781</t>
  </si>
  <si>
    <t>16/09/2025</t>
  </si>
  <si>
    <t>74101638</t>
  </si>
  <si>
    <t>74998640</t>
  </si>
  <si>
    <t>20/09/2025</t>
  </si>
  <si>
    <t>K25TVA</t>
  </si>
  <si>
    <t>2630648</t>
  </si>
  <si>
    <t>15/09/2025</t>
  </si>
  <si>
    <t>2639276</t>
  </si>
  <si>
    <t>2639372</t>
  </si>
  <si>
    <t>2684402</t>
  </si>
  <si>
    <t>23161</t>
  </si>
  <si>
    <t>26/09/2025</t>
  </si>
  <si>
    <t>Viettel Hồ Chí Minh- Chi nhánh Tập đoàn Công nghiệp - Viễn thông Quân đội</t>
  </si>
  <si>
    <t>CÔNG TY TNHH CHỢ TỐT</t>
  </si>
  <si>
    <t>0100109106-122</t>
  </si>
  <si>
    <t>0312120782</t>
  </si>
  <si>
    <t>C25TAA</t>
  </si>
  <si>
    <t>15599</t>
  </si>
  <si>
    <t>C25TYY</t>
  </si>
  <si>
    <t>505</t>
  </si>
  <si>
    <t>18/09/2025</t>
  </si>
  <si>
    <t>C25TTM</t>
  </si>
  <si>
    <t>15</t>
  </si>
  <si>
    <t>Công ty Cổ phần GMO-Z.com RUNSYSTEM</t>
  </si>
  <si>
    <t>CÔNG TY TNHH LEO ALUMINIUM PACKAGING</t>
  </si>
  <si>
    <t>CÔNG TY TNHH THƯƠNG MẠI DỊCH VỤ ROI BUILDER PARTNER</t>
  </si>
  <si>
    <t>0101659906</t>
  </si>
  <si>
    <t>0317891997</t>
  </si>
  <si>
    <t>0318445025</t>
  </si>
  <si>
    <t>Thanh toán tạm ứng đợt 1 theo hợp đồng</t>
  </si>
  <si>
    <t>Máy ép seal bán tự động</t>
  </si>
  <si>
    <t>Lệ phí đăng ký và phí duy trì Domain Vn 1 năm</t>
  </si>
  <si>
    <t>Dịch vụ quảng cáo</t>
  </si>
  <si>
    <t>Chi phí tiếp khách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</si>
</sst>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/mm/yyyy;@"/>
    <numFmt numFmtId="167" formatCode="#,##0;\(#,##0\)"/>
    <numFmt numFmtId="168" formatCode="_-* #,##0_-;\-* #,##0_-;_-* &quot;-&quot;??_-;_-@_-"/>
    <numFmt numFmtId="169" formatCode="[$-409]mmmm\ d\,\ yy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.25"/>
      <name val="Microsoft Sans Serif"/>
      <family val="2"/>
    </font>
    <font>
      <sz val="8.25"/>
      <name val="Microsoft Sans Serif"/>
      <family val="2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b/>
      <sz val="11"/>
      <color indexed="18"/>
      <name val="Times New Roman"/>
      <family val="1"/>
    </font>
    <font>
      <b/>
      <sz val="11"/>
      <color indexed="12"/>
      <name val="Times New Roman"/>
      <family val="1"/>
    </font>
    <font>
      <sz val="11"/>
      <color theme="1"/>
      <name val="Calibri"/>
      <family val="3"/>
      <charset val="128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0000CC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theme="1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2" fillId="0" borderId="0">
      <protection locked="0"/>
    </xf>
    <xf numFmtId="43" fontId="3" fillId="0" borderId="0" applyNumberFormat="0">
      <protection locked="0"/>
    </xf>
    <xf numFmtId="0" fontId="1" fillId="0" borderId="0"/>
    <xf numFmtId="0" fontId="9" fillId="0" borderId="0">
      <alignment vertical="center"/>
    </xf>
    <xf numFmtId="43" fontId="1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 applyAlignment="0">
      <alignment vertical="top" wrapText="1"/>
      <protection locked="0"/>
    </xf>
    <xf numFmtId="164" fontId="15" fillId="0" borderId="0" applyFont="0" applyFill="0" applyBorder="0" applyAlignment="0" applyProtection="0"/>
    <xf numFmtId="43" fontId="2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6">
    <xf numFmtId="0" fontId="0" fillId="0" borderId="0" xfId="0"/>
    <xf numFmtId="43" fontId="4" fillId="2" borderId="0" xfId="1" applyNumberFormat="1" applyFont="1" applyFill="1" applyAlignment="1" applyProtection="1">
      <alignment horizontal="left" vertical="top"/>
    </xf>
    <xf numFmtId="165" fontId="4" fillId="2" borderId="0" xfId="1" applyNumberFormat="1" applyFont="1" applyFill="1" applyAlignment="1" applyProtection="1">
      <alignment horizontal="center" vertical="top"/>
    </xf>
    <xf numFmtId="14" fontId="4" fillId="2" borderId="0" xfId="1" applyNumberFormat="1" applyFont="1" applyFill="1" applyAlignment="1" applyProtection="1">
      <alignment horizontal="left" vertical="top"/>
    </xf>
    <xf numFmtId="43" fontId="4" fillId="2" borderId="0" xfId="1" applyNumberFormat="1" applyFont="1" applyFill="1" applyAlignment="1" applyProtection="1">
      <alignment horizontal="left" vertical="center"/>
    </xf>
    <xf numFmtId="165" fontId="4" fillId="2" borderId="0" xfId="1" applyNumberFormat="1" applyFont="1" applyFill="1" applyAlignment="1" applyProtection="1">
      <alignment horizontal="left" vertical="top"/>
    </xf>
    <xf numFmtId="165" fontId="4" fillId="2" borderId="0" xfId="2" applyNumberFormat="1" applyFont="1" applyFill="1" applyAlignment="1" applyProtection="1">
      <alignment horizontal="left" vertical="top"/>
    </xf>
    <xf numFmtId="43" fontId="4" fillId="2" borderId="0" xfId="1" applyNumberFormat="1" applyFont="1" applyFill="1" applyAlignment="1" applyProtection="1">
      <alignment horizontal="left"/>
    </xf>
    <xf numFmtId="165" fontId="10" fillId="2" borderId="0" xfId="1" applyNumberFormat="1" applyFont="1" applyFill="1" applyAlignment="1" applyProtection="1">
      <alignment horizontal="center"/>
    </xf>
    <xf numFmtId="43" fontId="10" fillId="2" borderId="0" xfId="1" applyNumberFormat="1" applyFont="1" applyFill="1" applyProtection="1"/>
    <xf numFmtId="14" fontId="4" fillId="2" borderId="0" xfId="1" applyNumberFormat="1" applyFont="1" applyFill="1" applyAlignment="1" applyProtection="1">
      <alignment horizontal="left"/>
    </xf>
    <xf numFmtId="165" fontId="4" fillId="2" borderId="0" xfId="1" applyNumberFormat="1" applyFont="1" applyFill="1" applyAlignment="1" applyProtection="1">
      <alignment horizontal="left"/>
    </xf>
    <xf numFmtId="165" fontId="4" fillId="2" borderId="0" xfId="2" applyNumberFormat="1" applyFont="1" applyFill="1" applyAlignment="1" applyProtection="1">
      <alignment horizontal="left"/>
    </xf>
    <xf numFmtId="165" fontId="7" fillId="2" borderId="0" xfId="1" applyNumberFormat="1" applyFont="1" applyFill="1" applyAlignment="1" applyProtection="1">
      <alignment horizontal="center" vertical="top" wrapText="1"/>
    </xf>
    <xf numFmtId="14" fontId="7" fillId="2" borderId="0" xfId="1" applyNumberFormat="1" applyFont="1" applyFill="1" applyAlignment="1" applyProtection="1">
      <alignment horizontal="center" vertical="top" wrapText="1"/>
    </xf>
    <xf numFmtId="43" fontId="7" fillId="2" borderId="0" xfId="1" applyNumberFormat="1" applyFont="1" applyFill="1" applyAlignment="1" applyProtection="1">
      <alignment horizontal="left" vertical="center" wrapText="1"/>
    </xf>
    <xf numFmtId="165" fontId="7" fillId="2" borderId="0" xfId="2" applyNumberFormat="1" applyFont="1" applyFill="1" applyAlignment="1" applyProtection="1">
      <alignment horizontal="center" vertical="top" wrapText="1"/>
    </xf>
    <xf numFmtId="43" fontId="13" fillId="2" borderId="0" xfId="1" applyNumberFormat="1" applyFont="1" applyFill="1" applyAlignment="1" applyProtection="1">
      <alignment horizontal="center" vertical="top" wrapText="1"/>
    </xf>
    <xf numFmtId="43" fontId="4" fillId="2" borderId="0" xfId="1" applyNumberFormat="1" applyFont="1" applyFill="1" applyAlignment="1" applyProtection="1">
      <alignment horizontal="left" vertical="center" wrapText="1"/>
    </xf>
    <xf numFmtId="165" fontId="4" fillId="2" borderId="3" xfId="2" applyNumberFormat="1" applyFont="1" applyFill="1" applyBorder="1" applyAlignment="1" applyProtection="1">
      <alignment horizontal="center" vertical="center" wrapText="1"/>
    </xf>
    <xf numFmtId="165" fontId="4" fillId="2" borderId="3" xfId="2" quotePrefix="1" applyNumberFormat="1" applyFont="1" applyFill="1" applyBorder="1" applyAlignment="1" applyProtection="1">
      <alignment horizontal="center" vertical="center" wrapText="1"/>
    </xf>
    <xf numFmtId="14" fontId="4" fillId="2" borderId="3" xfId="2" quotePrefix="1" applyNumberFormat="1" applyFont="1" applyFill="1" applyBorder="1" applyAlignment="1" applyProtection="1">
      <alignment horizontal="center" vertical="center" wrapText="1"/>
    </xf>
    <xf numFmtId="165" fontId="4" fillId="2" borderId="3" xfId="2" applyNumberFormat="1" applyFont="1" applyFill="1" applyBorder="1" applyAlignment="1" applyProtection="1">
      <alignment horizontal="left" vertical="center" wrapText="1"/>
    </xf>
    <xf numFmtId="14" fontId="4" fillId="2" borderId="3" xfId="2" applyNumberFormat="1" applyFont="1" applyFill="1" applyBorder="1" applyAlignment="1" applyProtection="1">
      <alignment horizontal="center" vertical="center"/>
    </xf>
    <xf numFmtId="165" fontId="4" fillId="2" borderId="4" xfId="2" applyNumberFormat="1" applyFont="1" applyFill="1" applyBorder="1" applyAlignment="1" applyProtection="1">
      <alignment horizontal="left" vertical="center" wrapText="1"/>
    </xf>
    <xf numFmtId="165" fontId="4" fillId="2" borderId="3" xfId="2" applyNumberFormat="1" applyFont="1" applyFill="1" applyBorder="1" applyAlignment="1" applyProtection="1">
      <alignment horizontal="right" vertical="center"/>
    </xf>
    <xf numFmtId="165" fontId="6" fillId="2" borderId="17" xfId="2" applyNumberFormat="1" applyFont="1" applyFill="1" applyBorder="1" applyAlignment="1" applyProtection="1">
      <alignment horizontal="left" vertical="center" wrapText="1"/>
    </xf>
    <xf numFmtId="165" fontId="4" fillId="2" borderId="2" xfId="2" quotePrefix="1" applyNumberFormat="1" applyFont="1" applyFill="1" applyBorder="1" applyAlignment="1" applyProtection="1">
      <alignment horizontal="center" vertical="center" wrapText="1"/>
    </xf>
    <xf numFmtId="14" fontId="4" fillId="2" borderId="2" xfId="2" applyNumberFormat="1" applyFont="1" applyFill="1" applyBorder="1" applyAlignment="1" applyProtection="1">
      <alignment horizontal="center" vertical="center"/>
    </xf>
    <xf numFmtId="165" fontId="4" fillId="2" borderId="2" xfId="2" applyNumberFormat="1" applyFont="1" applyFill="1" applyBorder="1" applyAlignment="1" applyProtection="1">
      <alignment horizontal="right" vertical="center"/>
    </xf>
    <xf numFmtId="43" fontId="6" fillId="2" borderId="0" xfId="1" applyNumberFormat="1" applyFont="1" applyFill="1" applyAlignment="1" applyProtection="1">
      <alignment horizontal="left"/>
    </xf>
    <xf numFmtId="165" fontId="6" fillId="2" borderId="2" xfId="1" applyNumberFormat="1" applyFont="1" applyFill="1" applyBorder="1" applyAlignment="1" applyProtection="1">
      <alignment horizontal="center" vertical="center"/>
    </xf>
    <xf numFmtId="43" fontId="6" fillId="2" borderId="2" xfId="1" applyNumberFormat="1" applyFont="1" applyFill="1" applyBorder="1" applyAlignment="1" applyProtection="1">
      <alignment horizontal="center" vertical="center" wrapText="1"/>
    </xf>
    <xf numFmtId="14" fontId="6" fillId="2" borderId="2" xfId="1" applyNumberFormat="1" applyFont="1" applyFill="1" applyBorder="1" applyAlignment="1" applyProtection="1">
      <alignment horizontal="left" vertical="center" wrapText="1"/>
    </xf>
    <xf numFmtId="43" fontId="6" fillId="2" borderId="2" xfId="1" applyNumberFormat="1" applyFont="1" applyFill="1" applyBorder="1" applyAlignment="1" applyProtection="1">
      <alignment horizontal="left" vertical="center" wrapText="1"/>
    </xf>
    <xf numFmtId="43" fontId="6" fillId="2" borderId="6" xfId="2" applyNumberFormat="1" applyFont="1" applyFill="1" applyBorder="1" applyAlignment="1" applyProtection="1">
      <alignment horizontal="center" vertical="center"/>
    </xf>
    <xf numFmtId="165" fontId="6" fillId="2" borderId="2" xfId="1" applyNumberFormat="1" applyFont="1" applyFill="1" applyBorder="1" applyAlignment="1" applyProtection="1">
      <alignment horizontal="right" vertical="center"/>
    </xf>
    <xf numFmtId="165" fontId="4" fillId="2" borderId="7" xfId="2" applyNumberFormat="1" applyFont="1" applyFill="1" applyBorder="1" applyAlignment="1" applyProtection="1">
      <alignment horizontal="left" vertical="center" wrapText="1"/>
    </xf>
    <xf numFmtId="43" fontId="11" fillId="2" borderId="17" xfId="1" applyNumberFormat="1" applyFont="1" applyFill="1" applyBorder="1" applyAlignment="1" applyProtection="1">
      <alignment vertical="center"/>
    </xf>
    <xf numFmtId="165" fontId="10" fillId="2" borderId="8" xfId="1" applyNumberFormat="1" applyFont="1" applyFill="1" applyBorder="1" applyAlignment="1" applyProtection="1">
      <alignment vertical="center"/>
    </xf>
    <xf numFmtId="165" fontId="10" fillId="2" borderId="7" xfId="2" applyNumberFormat="1" applyFont="1" applyFill="1" applyBorder="1" applyProtection="1"/>
    <xf numFmtId="43" fontId="6" fillId="2" borderId="0" xfId="1" applyNumberFormat="1" applyFont="1" applyFill="1" applyProtection="1"/>
    <xf numFmtId="165" fontId="11" fillId="2" borderId="0" xfId="1" applyNumberFormat="1" applyFont="1" applyFill="1" applyProtection="1"/>
    <xf numFmtId="165" fontId="6" fillId="2" borderId="0" xfId="2" applyNumberFormat="1" applyFont="1" applyFill="1" applyAlignment="1" applyProtection="1">
      <alignment horizontal="center" vertical="center"/>
    </xf>
    <xf numFmtId="43" fontId="4" fillId="2" borderId="0" xfId="1" applyNumberFormat="1" applyFont="1" applyFill="1" applyProtection="1"/>
    <xf numFmtId="165" fontId="4" fillId="2" borderId="0" xfId="1" applyNumberFormat="1" applyFont="1" applyFill="1" applyAlignment="1" applyProtection="1">
      <alignment horizontal="center"/>
    </xf>
    <xf numFmtId="14" fontId="4" fillId="2" borderId="0" xfId="1" applyNumberFormat="1" applyFont="1" applyFill="1" applyAlignment="1" applyProtection="1">
      <alignment horizontal="left" vertical="center"/>
    </xf>
    <xf numFmtId="43" fontId="4" fillId="2" borderId="0" xfId="2" applyNumberFormat="1" applyFont="1" applyFill="1" applyAlignment="1" applyProtection="1">
      <alignment horizontal="center" vertical="center"/>
    </xf>
    <xf numFmtId="165" fontId="4" fillId="2" borderId="0" xfId="1" applyNumberFormat="1" applyFont="1" applyFill="1" applyAlignment="1" applyProtection="1">
      <alignment horizontal="center" vertical="center"/>
    </xf>
    <xf numFmtId="165" fontId="10" fillId="2" borderId="0" xfId="2" applyNumberFormat="1" applyFont="1" applyFill="1" applyProtection="1"/>
    <xf numFmtId="43" fontId="10" fillId="2" borderId="0" xfId="1" applyNumberFormat="1" applyFont="1" applyFill="1" applyAlignment="1" applyProtection="1">
      <alignment horizontal="center"/>
    </xf>
    <xf numFmtId="165" fontId="10" fillId="2" borderId="0" xfId="1" applyNumberFormat="1" applyFont="1" applyFill="1" applyAlignment="1" applyProtection="1">
      <alignment vertical="center"/>
    </xf>
    <xf numFmtId="14" fontId="10" fillId="2" borderId="0" xfId="1" applyNumberFormat="1" applyFont="1" applyFill="1" applyAlignment="1" applyProtection="1">
      <alignment horizontal="left" vertical="center"/>
    </xf>
    <xf numFmtId="43" fontId="10" fillId="2" borderId="0" xfId="2" applyNumberFormat="1" applyFont="1" applyFill="1" applyAlignment="1" applyProtection="1">
      <alignment horizontal="center" vertical="center"/>
    </xf>
    <xf numFmtId="43" fontId="11" fillId="2" borderId="0" xfId="1" applyNumberFormat="1" applyFont="1" applyFill="1" applyAlignment="1" applyProtection="1">
      <alignment vertical="center"/>
    </xf>
    <xf numFmtId="165" fontId="11" fillId="2" borderId="0" xfId="1" applyNumberFormat="1" applyFont="1" applyFill="1" applyAlignment="1" applyProtection="1">
      <alignment vertical="center"/>
    </xf>
    <xf numFmtId="165" fontId="6" fillId="3" borderId="3" xfId="2" applyNumberFormat="1" applyFont="1" applyFill="1" applyBorder="1" applyAlignment="1" applyProtection="1">
      <alignment horizontal="center" vertical="center" wrapText="1"/>
    </xf>
    <xf numFmtId="14" fontId="6" fillId="3" borderId="3" xfId="2" applyNumberFormat="1" applyFont="1" applyFill="1" applyBorder="1" applyAlignment="1" applyProtection="1">
      <alignment horizontal="center" vertical="center" wrapText="1"/>
    </xf>
    <xf numFmtId="165" fontId="4" fillId="2" borderId="2" xfId="2" applyNumberFormat="1" applyFont="1" applyFill="1" applyBorder="1" applyAlignment="1" applyProtection="1">
      <alignment horizontal="center" vertical="center" wrapText="1"/>
    </xf>
    <xf numFmtId="49" fontId="10" fillId="2" borderId="0" xfId="1" applyNumberFormat="1" applyFont="1" applyFill="1" applyAlignment="1" applyProtection="1">
      <alignment horizontal="center"/>
    </xf>
    <xf numFmtId="49" fontId="4" fillId="2" borderId="0" xfId="1" applyNumberFormat="1" applyFont="1" applyFill="1" applyAlignment="1" applyProtection="1">
      <alignment horizontal="left" vertical="top"/>
    </xf>
    <xf numFmtId="49" fontId="10" fillId="2" borderId="0" xfId="1" applyNumberFormat="1" applyFont="1" applyFill="1" applyProtection="1"/>
    <xf numFmtId="49" fontId="7" fillId="2" borderId="0" xfId="1" applyNumberFormat="1" applyFont="1" applyFill="1" applyAlignment="1" applyProtection="1">
      <alignment horizontal="center" vertical="top" wrapText="1"/>
    </xf>
    <xf numFmtId="49" fontId="6" fillId="3" borderId="3" xfId="2" applyNumberFormat="1" applyFont="1" applyFill="1" applyBorder="1" applyAlignment="1" applyProtection="1">
      <alignment horizontal="center" vertical="center" wrapText="1"/>
    </xf>
    <xf numFmtId="49" fontId="4" fillId="2" borderId="3" xfId="2" quotePrefix="1" applyNumberFormat="1" applyFont="1" applyFill="1" applyBorder="1" applyAlignment="1" applyProtection="1">
      <alignment horizontal="center" vertical="center" wrapText="1"/>
    </xf>
    <xf numFmtId="49" fontId="4" fillId="2" borderId="3" xfId="2" applyNumberFormat="1" applyFont="1" applyFill="1" applyBorder="1" applyAlignment="1" applyProtection="1">
      <alignment horizontal="left" vertical="center"/>
    </xf>
    <xf numFmtId="49" fontId="4" fillId="2" borderId="2" xfId="2" quotePrefix="1" applyNumberFormat="1" applyFont="1" applyFill="1" applyBorder="1" applyAlignment="1" applyProtection="1">
      <alignment horizontal="left" vertical="center"/>
    </xf>
    <xf numFmtId="49" fontId="4" fillId="2" borderId="3" xfId="2" quotePrefix="1" applyNumberFormat="1" applyFont="1" applyFill="1" applyBorder="1" applyAlignment="1">
      <alignment horizontal="left" vertical="center"/>
      <protection locked="0"/>
    </xf>
    <xf numFmtId="49" fontId="4" fillId="2" borderId="0" xfId="1" applyNumberFormat="1" applyFont="1" applyFill="1" applyAlignment="1" applyProtection="1">
      <alignment horizontal="center" vertical="top"/>
    </xf>
    <xf numFmtId="49" fontId="4" fillId="2" borderId="0" xfId="1" applyNumberFormat="1" applyFont="1" applyFill="1" applyAlignment="1" applyProtection="1">
      <alignment horizontal="center"/>
    </xf>
    <xf numFmtId="49" fontId="4" fillId="2" borderId="3" xfId="2" applyNumberFormat="1" applyFont="1" applyFill="1" applyBorder="1" applyAlignment="1" applyProtection="1">
      <alignment horizontal="center" vertical="center" wrapText="1"/>
    </xf>
    <xf numFmtId="43" fontId="10" fillId="2" borderId="18" xfId="1" applyNumberFormat="1" applyFont="1" applyFill="1" applyBorder="1" applyProtection="1"/>
    <xf numFmtId="165" fontId="10" fillId="2" borderId="2" xfId="2" applyNumberFormat="1" applyFont="1" applyFill="1" applyBorder="1" applyProtection="1"/>
    <xf numFmtId="165" fontId="6" fillId="2" borderId="2" xfId="2" applyNumberFormat="1" applyFont="1" applyFill="1" applyBorder="1" applyAlignment="1" applyProtection="1">
      <alignment horizontal="left" vertical="center" wrapText="1"/>
    </xf>
    <xf numFmtId="165" fontId="6" fillId="2" borderId="2" xfId="2" applyNumberFormat="1" applyFont="1" applyFill="1" applyBorder="1" applyAlignment="1" applyProtection="1">
      <alignment horizontal="right" vertical="center"/>
    </xf>
    <xf numFmtId="0" fontId="2" fillId="0" borderId="0" xfId="1" applyAlignment="1">
      <alignment vertical="top"/>
      <protection locked="0"/>
    </xf>
    <xf numFmtId="165" fontId="4" fillId="2" borderId="2" xfId="2" applyNumberFormat="1" applyFont="1" applyFill="1" applyBorder="1" applyAlignment="1" applyProtection="1">
      <alignment horizontal="left" vertical="center" wrapText="1"/>
    </xf>
    <xf numFmtId="0" fontId="4" fillId="2" borderId="0" xfId="1" applyFont="1" applyFill="1" applyProtection="1"/>
    <xf numFmtId="0" fontId="4" fillId="2" borderId="0" xfId="1" applyFont="1" applyFill="1" applyAlignment="1" applyProtection="1">
      <alignment horizontal="center"/>
    </xf>
    <xf numFmtId="49" fontId="4" fillId="2" borderId="0" xfId="1" applyNumberFormat="1" applyFont="1" applyFill="1" applyProtection="1"/>
    <xf numFmtId="0" fontId="6" fillId="2" borderId="0" xfId="1" applyFont="1" applyFill="1" applyAlignment="1" applyProtection="1">
      <alignment horizontal="center" vertical="top"/>
    </xf>
    <xf numFmtId="0" fontId="8" fillId="2" borderId="0" xfId="1" applyFont="1" applyFill="1" applyAlignment="1" applyProtection="1">
      <alignment horizontal="center"/>
    </xf>
    <xf numFmtId="0" fontId="8" fillId="2" borderId="0" xfId="1" applyFont="1" applyFill="1" applyProtection="1"/>
    <xf numFmtId="0" fontId="4" fillId="2" borderId="0" xfId="1" applyFont="1" applyFill="1" applyAlignment="1" applyProtection="1">
      <alignment vertical="center"/>
    </xf>
    <xf numFmtId="0" fontId="4" fillId="2" borderId="0" xfId="1" applyFont="1" applyFill="1" applyAlignment="1" applyProtection="1">
      <alignment horizontal="center" vertical="center"/>
    </xf>
    <xf numFmtId="0" fontId="4" fillId="2" borderId="6" xfId="1" applyFont="1" applyFill="1" applyBorder="1" applyAlignment="1" applyProtection="1">
      <alignment horizontal="center" vertical="center" wrapText="1"/>
    </xf>
    <xf numFmtId="49" fontId="4" fillId="2" borderId="6" xfId="1" applyNumberFormat="1" applyFont="1" applyFill="1" applyBorder="1" applyAlignment="1" applyProtection="1">
      <alignment horizontal="center" vertical="center" wrapText="1"/>
    </xf>
    <xf numFmtId="1" fontId="4" fillId="2" borderId="6" xfId="1" applyNumberFormat="1" applyFont="1" applyFill="1" applyBorder="1" applyAlignment="1" applyProtection="1">
      <alignment horizontal="center" vertical="center" wrapText="1"/>
    </xf>
    <xf numFmtId="0" fontId="10" fillId="2" borderId="0" xfId="1" applyFont="1" applyFill="1" applyProtection="1"/>
    <xf numFmtId="49" fontId="4" fillId="2" borderId="2" xfId="1" applyNumberFormat="1" applyFont="1" applyFill="1" applyBorder="1" applyAlignment="1" applyProtection="1">
      <alignment horizontal="center" vertical="center" wrapText="1"/>
    </xf>
    <xf numFmtId="0" fontId="6" fillId="2" borderId="0" xfId="1" applyFont="1" applyFill="1" applyAlignment="1" applyProtection="1">
      <alignment horizontal="right" vertical="center"/>
    </xf>
    <xf numFmtId="0" fontId="6" fillId="2" borderId="0" xfId="1" applyFont="1" applyFill="1" applyAlignment="1" applyProtection="1">
      <alignment horizontal="left" vertical="center"/>
    </xf>
    <xf numFmtId="49" fontId="6" fillId="2" borderId="17" xfId="1" applyNumberFormat="1" applyFont="1" applyFill="1" applyBorder="1" applyAlignment="1" applyProtection="1">
      <alignment horizontal="center" vertical="center" wrapText="1"/>
    </xf>
    <xf numFmtId="49" fontId="6" fillId="2" borderId="17" xfId="1" applyNumberFormat="1" applyFont="1" applyFill="1" applyBorder="1" applyAlignment="1" applyProtection="1">
      <alignment horizontal="left" vertical="center" wrapText="1"/>
    </xf>
    <xf numFmtId="3" fontId="6" fillId="2" borderId="17" xfId="1" applyNumberFormat="1" applyFont="1" applyFill="1" applyBorder="1" applyAlignment="1" applyProtection="1">
      <alignment horizontal="left" vertical="center" wrapText="1"/>
    </xf>
    <xf numFmtId="0" fontId="6" fillId="2" borderId="0" xfId="1" applyFont="1" applyFill="1" applyProtection="1"/>
    <xf numFmtId="49" fontId="6" fillId="2" borderId="9" xfId="1" applyNumberFormat="1" applyFont="1" applyFill="1" applyBorder="1" applyAlignment="1" applyProtection="1">
      <alignment vertical="top" wrapText="1"/>
    </xf>
    <xf numFmtId="3" fontId="6" fillId="2" borderId="9" xfId="1" applyNumberFormat="1" applyFont="1" applyFill="1" applyBorder="1" applyAlignment="1" applyProtection="1">
      <alignment vertical="top" wrapText="1"/>
    </xf>
    <xf numFmtId="0" fontId="6" fillId="2" borderId="0" xfId="1" applyFont="1" applyFill="1" applyAlignment="1" applyProtection="1">
      <alignment vertical="center"/>
    </xf>
    <xf numFmtId="49" fontId="6" fillId="2" borderId="2" xfId="1" applyNumberFormat="1" applyFont="1" applyFill="1" applyBorder="1" applyAlignment="1" applyProtection="1">
      <alignment vertical="top" wrapText="1"/>
    </xf>
    <xf numFmtId="3" fontId="6" fillId="2" borderId="2" xfId="1" applyNumberFormat="1" applyFont="1" applyFill="1" applyBorder="1" applyAlignment="1" applyProtection="1">
      <alignment vertical="top" wrapText="1"/>
    </xf>
    <xf numFmtId="49" fontId="6" fillId="2" borderId="2" xfId="1" applyNumberFormat="1" applyFont="1" applyFill="1" applyBorder="1" applyAlignment="1" applyProtection="1">
      <alignment horizontal="center" vertical="top" wrapText="1"/>
    </xf>
    <xf numFmtId="49" fontId="4" fillId="2" borderId="2" xfId="1" applyNumberFormat="1" applyFont="1" applyFill="1" applyBorder="1" applyAlignment="1" applyProtection="1">
      <alignment horizontal="center" vertical="top" wrapText="1"/>
    </xf>
    <xf numFmtId="49" fontId="4" fillId="2" borderId="2" xfId="1" applyNumberFormat="1" applyFont="1" applyFill="1" applyBorder="1" applyAlignment="1" applyProtection="1">
      <alignment vertical="top" wrapText="1"/>
    </xf>
    <xf numFmtId="166" fontId="4" fillId="2" borderId="2" xfId="1" applyNumberFormat="1" applyFont="1" applyFill="1" applyBorder="1" applyAlignment="1" applyProtection="1">
      <alignment horizontal="center" vertical="top" wrapText="1"/>
    </xf>
    <xf numFmtId="3" fontId="4" fillId="2" borderId="2" xfId="1" applyNumberFormat="1" applyFont="1" applyFill="1" applyBorder="1" applyAlignment="1" applyProtection="1">
      <alignment vertical="top" wrapText="1"/>
    </xf>
    <xf numFmtId="3" fontId="6" fillId="2" borderId="10" xfId="1" applyNumberFormat="1" applyFont="1" applyFill="1" applyBorder="1" applyAlignment="1" applyProtection="1">
      <alignment vertical="center" wrapText="1"/>
    </xf>
    <xf numFmtId="0" fontId="4" fillId="2" borderId="0" xfId="1" applyFont="1" applyFill="1" applyAlignment="1" applyProtection="1">
      <alignment horizontal="left" indent="15"/>
    </xf>
    <xf numFmtId="0" fontId="6" fillId="2" borderId="0" xfId="1" applyFont="1" applyFill="1" applyAlignment="1" applyProtection="1">
      <alignment horizontal="center"/>
    </xf>
    <xf numFmtId="49" fontId="6" fillId="2" borderId="0" xfId="1" applyNumberFormat="1" applyFont="1" applyFill="1" applyProtection="1"/>
    <xf numFmtId="49" fontId="6" fillId="2" borderId="0" xfId="1" applyNumberFormat="1" applyFont="1" applyFill="1" applyAlignment="1" applyProtection="1">
      <alignment horizontal="center" vertical="center"/>
    </xf>
    <xf numFmtId="3" fontId="6" fillId="2" borderId="0" xfId="1" applyNumberFormat="1" applyFont="1" applyFill="1" applyAlignment="1" applyProtection="1">
      <alignment vertical="center"/>
    </xf>
    <xf numFmtId="49" fontId="4" fillId="2" borderId="0" xfId="1" applyNumberFormat="1" applyFont="1" applyFill="1" applyAlignment="1" applyProtection="1">
      <alignment horizontal="center" vertical="center"/>
    </xf>
    <xf numFmtId="0" fontId="12" fillId="2" borderId="0" xfId="1" applyFont="1" applyFill="1" applyAlignment="1" applyProtection="1">
      <alignment horizontal="center"/>
    </xf>
    <xf numFmtId="14" fontId="10" fillId="2" borderId="0" xfId="1" applyNumberFormat="1" applyFont="1" applyFill="1" applyAlignment="1" applyProtection="1">
      <alignment horizontal="center" vertical="center"/>
    </xf>
    <xf numFmtId="0" fontId="10" fillId="2" borderId="0" xfId="1" applyFont="1" applyFill="1" applyAlignment="1" applyProtection="1">
      <alignment vertical="center"/>
    </xf>
    <xf numFmtId="0" fontId="13" fillId="2" borderId="0" xfId="1" quotePrefix="1" applyFont="1" applyFill="1" applyAlignment="1" applyProtection="1">
      <alignment horizontal="center" vertical="top"/>
    </xf>
    <xf numFmtId="0" fontId="13" fillId="2" borderId="0" xfId="1" applyFont="1" applyFill="1" applyAlignment="1" applyProtection="1">
      <alignment horizontal="left" vertical="top"/>
    </xf>
    <xf numFmtId="0" fontId="11" fillId="2" borderId="0" xfId="1" applyFont="1" applyFill="1" applyAlignment="1" applyProtection="1">
      <alignment vertical="center"/>
    </xf>
    <xf numFmtId="0" fontId="13" fillId="2" borderId="0" xfId="1" quotePrefix="1" applyFont="1" applyFill="1" applyAlignment="1" applyProtection="1">
      <alignment horizontal="center"/>
    </xf>
    <xf numFmtId="0" fontId="13" fillId="2" borderId="0" xfId="1" applyFont="1" applyFill="1" applyAlignment="1" applyProtection="1">
      <alignment horizontal="center"/>
    </xf>
    <xf numFmtId="49" fontId="6" fillId="3" borderId="2" xfId="1" applyNumberFormat="1" applyFont="1" applyFill="1" applyBorder="1" applyAlignment="1" applyProtection="1">
      <alignment horizontal="center" vertical="center" wrapText="1"/>
    </xf>
    <xf numFmtId="49" fontId="6" fillId="2" borderId="2" xfId="1" applyNumberFormat="1" applyFont="1" applyFill="1" applyBorder="1" applyAlignment="1" applyProtection="1">
      <alignment horizontal="center" vertical="center" wrapText="1"/>
    </xf>
    <xf numFmtId="49" fontId="8" fillId="2" borderId="0" xfId="1" applyNumberFormat="1" applyFont="1" applyFill="1" applyAlignment="1" applyProtection="1">
      <alignment horizontal="center"/>
    </xf>
    <xf numFmtId="49" fontId="10" fillId="2" borderId="0" xfId="1" applyNumberFormat="1" applyFont="1" applyFill="1" applyAlignment="1" applyProtection="1">
      <alignment horizontal="center" vertical="center"/>
    </xf>
    <xf numFmtId="49" fontId="11" fillId="2" borderId="0" xfId="1" applyNumberFormat="1" applyFont="1" applyFill="1" applyAlignment="1" applyProtection="1">
      <alignment horizontal="center" vertical="center"/>
    </xf>
    <xf numFmtId="49" fontId="6" fillId="2" borderId="0" xfId="1" applyNumberFormat="1" applyFont="1" applyFill="1" applyAlignment="1" applyProtection="1">
      <alignment horizontal="center"/>
    </xf>
    <xf numFmtId="0" fontId="10" fillId="2" borderId="0" xfId="1" applyFont="1" applyFill="1" applyAlignment="1" applyProtection="1">
      <alignment horizontal="center"/>
    </xf>
    <xf numFmtId="43" fontId="6" fillId="2" borderId="0" xfId="1" applyNumberFormat="1" applyFont="1" applyFill="1" applyAlignment="1" applyProtection="1">
      <alignment vertical="top"/>
    </xf>
    <xf numFmtId="0" fontId="6" fillId="2" borderId="0" xfId="1" applyFont="1" applyFill="1" applyAlignment="1" applyProtection="1">
      <alignment vertical="top"/>
    </xf>
    <xf numFmtId="0" fontId="0" fillId="0" borderId="0" xfId="0" applyAlignment="1">
      <alignment horizontal="center"/>
    </xf>
    <xf numFmtId="0" fontId="16" fillId="0" borderId="22" xfId="6" applyFont="1" applyBorder="1" applyAlignment="1">
      <alignment horizontal="center"/>
    </xf>
    <xf numFmtId="0" fontId="16" fillId="0" borderId="23" xfId="6" applyFont="1" applyBorder="1"/>
    <xf numFmtId="165" fontId="16" fillId="0" borderId="23" xfId="7" applyNumberFormat="1" applyFont="1" applyBorder="1"/>
    <xf numFmtId="165" fontId="16" fillId="0" borderId="24" xfId="7" applyNumberFormat="1" applyFont="1" applyBorder="1"/>
    <xf numFmtId="0" fontId="16" fillId="0" borderId="0" xfId="6" applyFont="1"/>
    <xf numFmtId="165" fontId="16" fillId="0" borderId="0" xfId="7" applyNumberFormat="1" applyFont="1" applyBorder="1"/>
    <xf numFmtId="0" fontId="16" fillId="0" borderId="25" xfId="6" applyFont="1" applyBorder="1" applyAlignment="1">
      <alignment horizontal="center"/>
    </xf>
    <xf numFmtId="0" fontId="17" fillId="0" borderId="0" xfId="6" applyFont="1" applyAlignment="1">
      <alignment horizontal="right"/>
    </xf>
    <xf numFmtId="0" fontId="18" fillId="0" borderId="0" xfId="6" applyFont="1" applyAlignment="1">
      <alignment horizontal="center"/>
    </xf>
    <xf numFmtId="0" fontId="18" fillId="0" borderId="27" xfId="6" applyFont="1" applyBorder="1" applyAlignment="1">
      <alignment horizontal="center"/>
    </xf>
    <xf numFmtId="0" fontId="19" fillId="0" borderId="27" xfId="6" applyFont="1" applyBorder="1" applyAlignment="1">
      <alignment horizontal="center"/>
    </xf>
    <xf numFmtId="0" fontId="19" fillId="0" borderId="0" xfId="6" applyFont="1" applyAlignment="1">
      <alignment horizontal="center"/>
    </xf>
    <xf numFmtId="0" fontId="16" fillId="0" borderId="0" xfId="6" applyFont="1" applyAlignment="1">
      <alignment horizontal="center"/>
    </xf>
    <xf numFmtId="0" fontId="16" fillId="0" borderId="28" xfId="6" applyFont="1" applyBorder="1" applyAlignment="1">
      <alignment horizontal="center"/>
    </xf>
    <xf numFmtId="0" fontId="19" fillId="0" borderId="28" xfId="6" applyFont="1" applyBorder="1" applyAlignment="1">
      <alignment horizontal="center"/>
    </xf>
    <xf numFmtId="49" fontId="18" fillId="0" borderId="0" xfId="6" applyNumberFormat="1" applyFont="1"/>
    <xf numFmtId="0" fontId="19" fillId="0" borderId="0" xfId="6" applyFont="1"/>
    <xf numFmtId="0" fontId="16" fillId="0" borderId="29" xfId="6" applyFont="1" applyBorder="1" applyAlignment="1">
      <alignment horizontal="center"/>
    </xf>
    <xf numFmtId="0" fontId="16" fillId="0" borderId="30" xfId="6" applyFont="1" applyBorder="1"/>
    <xf numFmtId="165" fontId="20" fillId="0" borderId="30" xfId="7" applyNumberFormat="1" applyFont="1" applyBorder="1"/>
    <xf numFmtId="165" fontId="16" fillId="0" borderId="31" xfId="7" applyNumberFormat="1" applyFont="1" applyBorder="1"/>
    <xf numFmtId="0" fontId="16" fillId="0" borderId="32" xfId="6" applyFont="1" applyBorder="1" applyAlignment="1">
      <alignment horizontal="center" vertical="center"/>
    </xf>
    <xf numFmtId="0" fontId="16" fillId="0" borderId="0" xfId="6" applyFont="1" applyAlignment="1">
      <alignment vertical="center"/>
    </xf>
    <xf numFmtId="0" fontId="19" fillId="0" borderId="37" xfId="6" applyFont="1" applyBorder="1" applyAlignment="1">
      <alignment horizontal="center"/>
    </xf>
    <xf numFmtId="0" fontId="19" fillId="0" borderId="33" xfId="6" applyFont="1" applyBorder="1"/>
    <xf numFmtId="0" fontId="16" fillId="0" borderId="34" xfId="6" applyFont="1" applyBorder="1"/>
    <xf numFmtId="0" fontId="16" fillId="0" borderId="35" xfId="6" applyFont="1" applyBorder="1"/>
    <xf numFmtId="0" fontId="16" fillId="0" borderId="38" xfId="6" applyFont="1" applyBorder="1"/>
    <xf numFmtId="0" fontId="19" fillId="0" borderId="39" xfId="6" applyFont="1" applyBorder="1" applyAlignment="1">
      <alignment horizontal="center"/>
    </xf>
    <xf numFmtId="0" fontId="21" fillId="0" borderId="33" xfId="6" applyFont="1" applyBorder="1" applyAlignment="1">
      <alignment horizontal="left"/>
    </xf>
    <xf numFmtId="165" fontId="19" fillId="0" borderId="36" xfId="7" applyNumberFormat="1" applyFont="1" applyBorder="1" applyAlignment="1">
      <alignment horizontal="left"/>
    </xf>
    <xf numFmtId="0" fontId="19" fillId="0" borderId="34" xfId="6" applyFont="1" applyBorder="1" applyAlignment="1">
      <alignment horizontal="left"/>
    </xf>
    <xf numFmtId="168" fontId="19" fillId="0" borderId="34" xfId="9" applyNumberFormat="1" applyFont="1" applyBorder="1" applyAlignment="1">
      <alignment horizontal="center"/>
    </xf>
    <xf numFmtId="0" fontId="24" fillId="0" borderId="33" xfId="6" applyFont="1" applyBorder="1" applyAlignment="1">
      <alignment horizontal="left"/>
    </xf>
    <xf numFmtId="168" fontId="16" fillId="0" borderId="0" xfId="6" applyNumberFormat="1" applyFont="1" applyAlignment="1">
      <alignment horizontal="center"/>
    </xf>
    <xf numFmtId="165" fontId="16" fillId="0" borderId="0" xfId="6" applyNumberFormat="1" applyFont="1" applyAlignment="1">
      <alignment horizontal="center"/>
    </xf>
    <xf numFmtId="0" fontId="19" fillId="0" borderId="34" xfId="6" applyFont="1" applyBorder="1"/>
    <xf numFmtId="0" fontId="16" fillId="0" borderId="33" xfId="6" applyFont="1" applyBorder="1" applyAlignment="1">
      <alignment horizontal="left"/>
    </xf>
    <xf numFmtId="165" fontId="16" fillId="0" borderId="35" xfId="7" applyNumberFormat="1" applyFont="1" applyFill="1" applyBorder="1" applyAlignment="1">
      <alignment horizontal="left"/>
    </xf>
    <xf numFmtId="165" fontId="16" fillId="0" borderId="36" xfId="7" applyNumberFormat="1" applyFont="1" applyFill="1" applyBorder="1" applyAlignment="1">
      <alignment horizontal="left"/>
    </xf>
    <xf numFmtId="0" fontId="16" fillId="0" borderId="34" xfId="6" applyFont="1" applyBorder="1" applyAlignment="1">
      <alignment horizontal="left"/>
    </xf>
    <xf numFmtId="0" fontId="16" fillId="0" borderId="36" xfId="6" applyFont="1" applyBorder="1" applyAlignment="1">
      <alignment horizontal="left"/>
    </xf>
    <xf numFmtId="165" fontId="16" fillId="0" borderId="35" xfId="7" applyNumberFormat="1" applyFont="1" applyBorder="1" applyAlignment="1">
      <alignment horizontal="left"/>
    </xf>
    <xf numFmtId="165" fontId="16" fillId="0" borderId="36" xfId="7" applyNumberFormat="1" applyFont="1" applyBorder="1" applyAlignment="1">
      <alignment horizontal="left"/>
    </xf>
    <xf numFmtId="0" fontId="19" fillId="0" borderId="39" xfId="6" applyFont="1" applyBorder="1" applyAlignment="1">
      <alignment horizontal="center" wrapText="1"/>
    </xf>
    <xf numFmtId="0" fontId="16" fillId="0" borderId="33" xfId="6" applyFont="1" applyBorder="1" applyAlignment="1">
      <alignment horizontal="left" wrapText="1"/>
    </xf>
    <xf numFmtId="165" fontId="19" fillId="0" borderId="35" xfId="7" applyNumberFormat="1" applyFont="1" applyBorder="1" applyAlignment="1">
      <alignment horizontal="left" wrapText="1"/>
    </xf>
    <xf numFmtId="0" fontId="19" fillId="0" borderId="33" xfId="6" applyFont="1" applyBorder="1" applyAlignment="1">
      <alignment horizontal="left" wrapText="1"/>
    </xf>
    <xf numFmtId="165" fontId="19" fillId="0" borderId="36" xfId="7" applyNumberFormat="1" applyFont="1" applyBorder="1" applyAlignment="1">
      <alignment horizontal="left" wrapText="1"/>
    </xf>
    <xf numFmtId="0" fontId="16" fillId="0" borderId="0" xfId="6" applyFont="1" applyAlignment="1">
      <alignment wrapText="1"/>
    </xf>
    <xf numFmtId="0" fontId="16" fillId="0" borderId="39" xfId="6" applyFont="1" applyBorder="1" applyAlignment="1">
      <alignment horizontal="center"/>
    </xf>
    <xf numFmtId="165" fontId="16" fillId="0" borderId="0" xfId="6" applyNumberFormat="1" applyFont="1"/>
    <xf numFmtId="165" fontId="16" fillId="0" borderId="35" xfId="10" applyNumberFormat="1" applyFont="1" applyBorder="1" applyAlignment="1">
      <alignment horizontal="right"/>
    </xf>
    <xf numFmtId="165" fontId="16" fillId="0" borderId="36" xfId="10" applyNumberFormat="1" applyFont="1" applyBorder="1" applyAlignment="1">
      <alignment horizontal="right"/>
    </xf>
    <xf numFmtId="3" fontId="16" fillId="0" borderId="0" xfId="6" applyNumberFormat="1" applyFont="1"/>
    <xf numFmtId="165" fontId="19" fillId="0" borderId="35" xfId="7" applyNumberFormat="1" applyFont="1" applyBorder="1" applyAlignment="1">
      <alignment horizontal="left"/>
    </xf>
    <xf numFmtId="3" fontId="16" fillId="0" borderId="0" xfId="9" applyNumberFormat="1" applyFont="1"/>
    <xf numFmtId="0" fontId="19" fillId="0" borderId="33" xfId="6" applyFont="1" applyBorder="1" applyAlignment="1">
      <alignment horizontal="left"/>
    </xf>
    <xf numFmtId="0" fontId="19" fillId="0" borderId="35" xfId="6" applyFont="1" applyBorder="1" applyAlignment="1">
      <alignment horizontal="left"/>
    </xf>
    <xf numFmtId="0" fontId="16" fillId="0" borderId="0" xfId="6" applyFont="1" applyAlignment="1">
      <alignment horizontal="left"/>
    </xf>
    <xf numFmtId="0" fontId="16" fillId="0" borderId="40" xfId="6" applyFont="1" applyBorder="1" applyAlignment="1">
      <alignment horizontal="center"/>
    </xf>
    <xf numFmtId="0" fontId="16" fillId="0" borderId="41" xfId="6" applyFont="1" applyBorder="1"/>
    <xf numFmtId="0" fontId="19" fillId="4" borderId="41" xfId="6" applyFont="1" applyFill="1" applyBorder="1" applyAlignment="1">
      <alignment horizontal="left"/>
    </xf>
    <xf numFmtId="0" fontId="19" fillId="4" borderId="42" xfId="6" applyFont="1" applyFill="1" applyBorder="1" applyAlignment="1">
      <alignment horizontal="left"/>
    </xf>
    <xf numFmtId="0" fontId="19" fillId="4" borderId="43" xfId="6" applyFont="1" applyFill="1" applyBorder="1" applyAlignment="1">
      <alignment horizontal="left"/>
    </xf>
    <xf numFmtId="165" fontId="19" fillId="4" borderId="44" xfId="7" applyNumberFormat="1" applyFont="1" applyFill="1" applyBorder="1" applyAlignment="1">
      <alignment horizontal="center"/>
    </xf>
    <xf numFmtId="0" fontId="16" fillId="4" borderId="0" xfId="6" applyFont="1" applyFill="1"/>
    <xf numFmtId="0" fontId="16" fillId="0" borderId="45" xfId="6" applyFont="1" applyBorder="1" applyAlignment="1">
      <alignment horizontal="center"/>
    </xf>
    <xf numFmtId="0" fontId="16" fillId="0" borderId="46" xfId="6" applyFont="1" applyBorder="1"/>
    <xf numFmtId="165" fontId="16" fillId="0" borderId="46" xfId="7" applyNumberFormat="1" applyFont="1" applyBorder="1"/>
    <xf numFmtId="165" fontId="16" fillId="0" borderId="47" xfId="7" applyNumberFormat="1" applyFont="1" applyBorder="1"/>
    <xf numFmtId="0" fontId="20" fillId="0" borderId="0" xfId="6" applyFont="1"/>
    <xf numFmtId="0" fontId="20" fillId="0" borderId="0" xfId="6" quotePrefix="1" applyFont="1"/>
    <xf numFmtId="169" fontId="20" fillId="0" borderId="28" xfId="6" applyNumberFormat="1" applyFont="1" applyBorder="1"/>
    <xf numFmtId="165" fontId="16" fillId="0" borderId="28" xfId="7" applyNumberFormat="1" applyFont="1" applyBorder="1"/>
    <xf numFmtId="0" fontId="16" fillId="0" borderId="48" xfId="6" applyFont="1" applyBorder="1" applyAlignment="1">
      <alignment horizontal="center"/>
    </xf>
    <xf numFmtId="0" fontId="16" fillId="0" borderId="49" xfId="6" applyFont="1" applyBorder="1"/>
    <xf numFmtId="165" fontId="16" fillId="0" borderId="49" xfId="7" applyNumberFormat="1" applyFont="1" applyBorder="1"/>
    <xf numFmtId="165" fontId="16" fillId="0" borderId="50" xfId="7" applyNumberFormat="1" applyFont="1" applyBorder="1"/>
    <xf numFmtId="0" fontId="16" fillId="0" borderId="51" xfId="6" applyFont="1" applyBorder="1" applyAlignment="1">
      <alignment horizontal="center"/>
    </xf>
    <xf numFmtId="0" fontId="16" fillId="0" borderId="52" xfId="6" applyFont="1" applyBorder="1"/>
    <xf numFmtId="165" fontId="16" fillId="0" borderId="52" xfId="7" applyNumberFormat="1" applyFont="1" applyBorder="1"/>
    <xf numFmtId="165" fontId="16" fillId="0" borderId="53" xfId="7" applyNumberFormat="1" applyFont="1" applyBorder="1"/>
    <xf numFmtId="165" fontId="16" fillId="0" borderId="0" xfId="7" applyNumberFormat="1" applyFont="1"/>
    <xf numFmtId="43" fontId="6" fillId="2" borderId="0" xfId="1" applyNumberFormat="1" applyFont="1" applyFill="1" applyAlignment="1" applyProtection="1">
      <alignment horizontal="left" vertical="top"/>
    </xf>
    <xf numFmtId="43" fontId="7" fillId="2" borderId="0" xfId="1" applyNumberFormat="1" applyFont="1" applyFill="1" applyAlignment="1" applyProtection="1">
      <alignment horizontal="center" vertical="top" wrapText="1"/>
    </xf>
    <xf numFmtId="43" fontId="4" fillId="2" borderId="0" xfId="1" applyNumberFormat="1" applyFont="1" applyFill="1" applyAlignment="1" applyProtection="1">
      <alignment horizontal="center"/>
    </xf>
    <xf numFmtId="165" fontId="6" fillId="2" borderId="55" xfId="2" applyNumberFormat="1" applyFont="1" applyFill="1" applyBorder="1" applyAlignment="1" applyProtection="1">
      <alignment horizontal="left" vertical="center" wrapText="1"/>
    </xf>
    <xf numFmtId="165" fontId="6" fillId="2" borderId="13" xfId="2" applyNumberFormat="1" applyFont="1" applyFill="1" applyBorder="1" applyAlignment="1" applyProtection="1">
      <alignment horizontal="right" vertical="center"/>
    </xf>
    <xf numFmtId="165" fontId="6" fillId="2" borderId="4" xfId="2" applyNumberFormat="1" applyFont="1" applyFill="1" applyBorder="1" applyAlignment="1" applyProtection="1">
      <alignment horizontal="right" vertical="center"/>
    </xf>
    <xf numFmtId="165" fontId="4" fillId="2" borderId="0" xfId="5" applyNumberFormat="1" applyFont="1" applyFill="1" applyProtection="1"/>
    <xf numFmtId="165" fontId="8" fillId="2" borderId="0" xfId="5" applyNumberFormat="1" applyFont="1" applyFill="1" applyAlignment="1" applyProtection="1">
      <alignment horizontal="center"/>
    </xf>
    <xf numFmtId="165" fontId="4" fillId="2" borderId="6" xfId="5" applyNumberFormat="1" applyFont="1" applyFill="1" applyBorder="1" applyAlignment="1" applyProtection="1">
      <alignment horizontal="center" vertical="center" wrapText="1"/>
    </xf>
    <xf numFmtId="165" fontId="6" fillId="2" borderId="17" xfId="5" applyNumberFormat="1" applyFont="1" applyFill="1" applyBorder="1" applyAlignment="1" applyProtection="1">
      <alignment horizontal="left" vertical="center" wrapText="1"/>
    </xf>
    <xf numFmtId="165" fontId="6" fillId="2" borderId="9" xfId="5" applyNumberFormat="1" applyFont="1" applyFill="1" applyBorder="1" applyAlignment="1" applyProtection="1">
      <alignment vertical="top" wrapText="1"/>
    </xf>
    <xf numFmtId="165" fontId="4" fillId="2" borderId="2" xfId="5" applyNumberFormat="1" applyFont="1" applyFill="1" applyBorder="1" applyAlignment="1" applyProtection="1">
      <alignment vertical="top" wrapText="1"/>
    </xf>
    <xf numFmtId="165" fontId="6" fillId="2" borderId="2" xfId="5" applyNumberFormat="1" applyFont="1" applyFill="1" applyBorder="1" applyAlignment="1" applyProtection="1">
      <alignment vertical="top" wrapText="1"/>
    </xf>
    <xf numFmtId="165" fontId="6" fillId="2" borderId="10" xfId="5" applyNumberFormat="1" applyFont="1" applyFill="1" applyBorder="1" applyAlignment="1" applyProtection="1">
      <alignment vertical="center" wrapText="1"/>
    </xf>
    <xf numFmtId="165" fontId="6" fillId="2" borderId="0" xfId="5" applyNumberFormat="1" applyFont="1" applyFill="1" applyAlignment="1" applyProtection="1">
      <alignment vertical="center"/>
    </xf>
    <xf numFmtId="165" fontId="4" fillId="2" borderId="0" xfId="5" applyNumberFormat="1" applyFont="1" applyFill="1" applyAlignment="1" applyProtection="1">
      <alignment vertical="center"/>
    </xf>
    <xf numFmtId="165" fontId="10" fillId="2" borderId="0" xfId="5" applyNumberFormat="1" applyFont="1" applyFill="1" applyAlignment="1" applyProtection="1">
      <alignment vertical="center"/>
    </xf>
    <xf numFmtId="165" fontId="11" fillId="2" borderId="0" xfId="5" applyNumberFormat="1" applyFont="1" applyFill="1" applyAlignment="1" applyProtection="1">
      <alignment vertical="center"/>
    </xf>
    <xf numFmtId="165" fontId="2" fillId="0" borderId="0" xfId="5" applyNumberFormat="1" applyFont="1" applyFill="1" applyAlignment="1" applyProtection="1">
      <alignment vertical="top"/>
      <protection locked="0"/>
    </xf>
    <xf numFmtId="165" fontId="0" fillId="0" borderId="0" xfId="5" applyNumberFormat="1" applyFont="1"/>
    <xf numFmtId="14" fontId="6" fillId="2" borderId="0" xfId="1" applyNumberFormat="1" applyFont="1" applyFill="1" applyAlignment="1" applyProtection="1">
      <alignment vertical="top"/>
    </xf>
    <xf numFmtId="14" fontId="4" fillId="2" borderId="2" xfId="2" applyNumberFormat="1" applyFont="1" applyFill="1" applyBorder="1" applyAlignment="1" applyProtection="1">
      <alignment horizontal="left" vertical="center" wrapText="1"/>
    </xf>
    <xf numFmtId="14" fontId="0" fillId="0" borderId="0" xfId="0" applyNumberFormat="1"/>
    <xf numFmtId="165" fontId="4" fillId="2" borderId="2" xfId="2" quotePrefix="1" applyNumberFormat="1" applyFont="1" applyFill="1" applyBorder="1" applyAlignment="1" applyProtection="1">
      <alignment horizontal="left" vertical="center" wrapText="1"/>
    </xf>
    <xf numFmtId="49" fontId="4" fillId="2" borderId="7" xfId="2" applyNumberFormat="1" applyFont="1" applyFill="1" applyBorder="1" applyAlignment="1" applyProtection="1">
      <alignment horizontal="center" vertical="center" wrapText="1"/>
    </xf>
    <xf numFmtId="165" fontId="6" fillId="2" borderId="75" xfId="2" applyNumberFormat="1" applyFont="1" applyFill="1" applyBorder="1" applyAlignment="1" applyProtection="1">
      <alignment horizontal="left" vertical="center" wrapText="1"/>
    </xf>
    <xf numFmtId="165" fontId="4" fillId="2" borderId="74" xfId="2" applyNumberFormat="1" applyFont="1" applyFill="1" applyBorder="1" applyAlignment="1" applyProtection="1">
      <alignment horizontal="center" wrapText="1"/>
    </xf>
    <xf numFmtId="165" fontId="4" fillId="2" borderId="2" xfId="2" applyNumberFormat="1" applyFont="1" applyFill="1" applyBorder="1" applyAlignment="1" applyProtection="1">
      <alignment horizontal="center" wrapText="1"/>
    </xf>
    <xf numFmtId="3" fontId="4" fillId="2" borderId="0" xfId="1" applyNumberFormat="1" applyFont="1" applyFill="1" applyProtection="1"/>
    <xf numFmtId="3" fontId="8" fillId="2" borderId="0" xfId="1" applyNumberFormat="1" applyFont="1" applyFill="1" applyAlignment="1" applyProtection="1">
      <alignment horizontal="center"/>
    </xf>
    <xf numFmtId="3" fontId="4" fillId="2" borderId="6" xfId="1" applyNumberFormat="1" applyFont="1" applyFill="1" applyBorder="1" applyAlignment="1" applyProtection="1">
      <alignment horizontal="center" vertical="center" wrapText="1"/>
    </xf>
    <xf numFmtId="3" fontId="4" fillId="2" borderId="2" xfId="1" applyNumberFormat="1" applyFont="1" applyFill="1" applyBorder="1" applyAlignment="1" applyProtection="1">
      <alignment horizontal="center" vertical="center" wrapText="1"/>
    </xf>
    <xf numFmtId="3" fontId="6" fillId="2" borderId="8" xfId="1" applyNumberFormat="1" applyFont="1" applyFill="1" applyBorder="1" applyAlignment="1" applyProtection="1">
      <alignment vertical="center" wrapText="1"/>
    </xf>
    <xf numFmtId="3" fontId="6" fillId="2" borderId="0" xfId="1" applyNumberFormat="1" applyFont="1" applyFill="1" applyAlignment="1" applyProtection="1">
      <alignment horizontal="center" vertical="center"/>
    </xf>
    <xf numFmtId="3" fontId="4" fillId="2" borderId="0" xfId="1" applyNumberFormat="1" applyFont="1" applyFill="1" applyAlignment="1" applyProtection="1">
      <alignment horizontal="center" vertical="center"/>
    </xf>
    <xf numFmtId="3" fontId="10" fillId="2" borderId="0" xfId="1" applyNumberFormat="1" applyFont="1" applyFill="1" applyAlignment="1" applyProtection="1">
      <alignment horizontal="center" vertical="center"/>
    </xf>
    <xf numFmtId="3" fontId="11" fillId="2" borderId="0" xfId="1" applyNumberFormat="1" applyFont="1" applyFill="1" applyAlignment="1" applyProtection="1">
      <alignment vertical="center"/>
    </xf>
    <xf numFmtId="3" fontId="2" fillId="0" borderId="0" xfId="1" applyNumberFormat="1" applyAlignment="1">
      <alignment vertical="top"/>
      <protection locked="0"/>
    </xf>
    <xf numFmtId="3" fontId="0" fillId="0" borderId="0" xfId="0" applyNumberFormat="1"/>
    <xf numFmtId="0" fontId="27" fillId="0" borderId="0" xfId="0" applyFont="1"/>
    <xf numFmtId="49" fontId="6" fillId="2" borderId="77" xfId="1" applyNumberFormat="1" applyFont="1" applyFill="1" applyBorder="1" applyAlignment="1" applyProtection="1">
      <alignment horizontal="right" vertical="center" wrapText="1"/>
    </xf>
    <xf numFmtId="3" fontId="6" fillId="2" borderId="77" xfId="1" applyNumberFormat="1" applyFont="1" applyFill="1" applyBorder="1" applyAlignment="1" applyProtection="1">
      <alignment horizontal="right" vertical="center" wrapText="1"/>
    </xf>
    <xf numFmtId="0" fontId="6" fillId="2" borderId="76" xfId="1" applyFont="1" applyFill="1" applyBorder="1" applyAlignment="1" applyProtection="1">
      <alignment horizontal="left" vertical="center" wrapText="1"/>
    </xf>
    <xf numFmtId="9" fontId="4" fillId="2" borderId="0" xfId="11" applyFont="1" applyFill="1" applyAlignment="1" applyProtection="1">
      <alignment horizontal="center" vertical="center"/>
    </xf>
    <xf numFmtId="9" fontId="8" fillId="2" borderId="0" xfId="11" applyFont="1" applyFill="1" applyAlignment="1" applyProtection="1">
      <alignment horizontal="center" vertical="center"/>
    </xf>
    <xf numFmtId="9" fontId="4" fillId="2" borderId="6" xfId="11" applyFont="1" applyFill="1" applyBorder="1" applyAlignment="1" applyProtection="1">
      <alignment horizontal="center" vertical="center" wrapText="1"/>
    </xf>
    <xf numFmtId="9" fontId="0" fillId="0" borderId="0" xfId="11" applyFont="1"/>
    <xf numFmtId="9" fontId="6" fillId="2" borderId="77" xfId="11" applyFont="1" applyFill="1" applyBorder="1" applyAlignment="1" applyProtection="1">
      <alignment horizontal="right" vertical="center" wrapText="1"/>
    </xf>
    <xf numFmtId="9" fontId="6" fillId="2" borderId="17" xfId="11" applyFont="1" applyFill="1" applyBorder="1" applyAlignment="1" applyProtection="1">
      <alignment horizontal="center" vertical="center" wrapText="1"/>
    </xf>
    <xf numFmtId="9" fontId="6" fillId="2" borderId="9" xfId="11" applyFont="1" applyFill="1" applyBorder="1" applyAlignment="1" applyProtection="1">
      <alignment horizontal="center" vertical="center" wrapText="1"/>
    </xf>
    <xf numFmtId="9" fontId="4" fillId="2" borderId="2" xfId="11" applyFont="1" applyFill="1" applyBorder="1" applyAlignment="1" applyProtection="1">
      <alignment horizontal="left" vertical="center" wrapText="1"/>
    </xf>
    <xf numFmtId="9" fontId="4" fillId="2" borderId="2" xfId="11" applyFont="1" applyFill="1" applyBorder="1" applyAlignment="1" applyProtection="1">
      <alignment horizontal="center" vertical="center" wrapText="1"/>
    </xf>
    <xf numFmtId="9" fontId="6" fillId="2" borderId="2" xfId="11" applyFont="1" applyFill="1" applyBorder="1" applyAlignment="1" applyProtection="1">
      <alignment horizontal="center" vertical="center" wrapText="1"/>
    </xf>
    <xf numFmtId="9" fontId="6" fillId="2" borderId="10" xfId="11" applyFont="1" applyFill="1" applyBorder="1" applyAlignment="1" applyProtection="1">
      <alignment horizontal="center" vertical="center" wrapText="1"/>
    </xf>
    <xf numFmtId="9" fontId="6" fillId="2" borderId="0" xfId="11" applyFont="1" applyFill="1" applyAlignment="1" applyProtection="1">
      <alignment horizontal="center" vertical="center"/>
    </xf>
    <xf numFmtId="9" fontId="10" fillId="2" borderId="0" xfId="11" applyFont="1" applyFill="1" applyAlignment="1" applyProtection="1">
      <alignment horizontal="center" vertical="center"/>
    </xf>
    <xf numFmtId="9" fontId="11" fillId="2" borderId="0" xfId="11" applyFont="1" applyFill="1" applyAlignment="1" applyProtection="1">
      <alignment horizontal="center" vertical="center"/>
    </xf>
    <xf numFmtId="9" fontId="2" fillId="0" borderId="0" xfId="11" applyFont="1" applyFill="1" applyAlignment="1" applyProtection="1">
      <alignment vertical="top"/>
      <protection locked="0"/>
    </xf>
    <xf numFmtId="165" fontId="4" fillId="2" borderId="2" xfId="5" applyNumberFormat="1" applyFont="1" applyFill="1" applyBorder="1" applyAlignment="1" applyProtection="1">
      <alignment horizontal="left" vertical="center" wrapText="1"/>
    </xf>
    <xf numFmtId="0" fontId="6" fillId="2" borderId="0" xfId="1" applyFont="1" applyFill="1" applyAlignment="1" applyProtection="1">
      <alignment horizontal="left" vertical="top"/>
    </xf>
    <xf numFmtId="49" fontId="4" fillId="2" borderId="0" xfId="1" applyNumberFormat="1" applyFont="1" applyFill="1" applyAlignment="1" applyProtection="1">
      <alignment horizontal="left"/>
    </xf>
    <xf numFmtId="49" fontId="8" fillId="2" borderId="0" xfId="1" applyNumberFormat="1" applyFont="1" applyFill="1" applyAlignment="1" applyProtection="1">
      <alignment horizontal="left"/>
    </xf>
    <xf numFmtId="49" fontId="4" fillId="2" borderId="6" xfId="1" applyNumberFormat="1" applyFont="1" applyFill="1" applyBorder="1" applyAlignment="1" applyProtection="1">
      <alignment horizontal="left" vertical="center" wrapText="1"/>
    </xf>
    <xf numFmtId="49" fontId="4" fillId="2" borderId="2" xfId="1" applyNumberFormat="1" applyFont="1" applyFill="1" applyBorder="1" applyAlignment="1" applyProtection="1">
      <alignment horizontal="left" vertical="center" wrapText="1"/>
    </xf>
    <xf numFmtId="49" fontId="4" fillId="2" borderId="2" xfId="1" applyNumberFormat="1" applyFont="1" applyFill="1" applyBorder="1" applyAlignment="1" applyProtection="1">
      <alignment horizontal="left" vertical="top" wrapText="1"/>
    </xf>
    <xf numFmtId="49" fontId="6" fillId="2" borderId="0" xfId="1" applyNumberFormat="1" applyFont="1" applyFill="1" applyAlignment="1" applyProtection="1">
      <alignment horizontal="left" vertical="center"/>
    </xf>
    <xf numFmtId="49" fontId="4" fillId="2" borderId="0" xfId="1" applyNumberFormat="1" applyFont="1" applyFill="1" applyAlignment="1" applyProtection="1">
      <alignment horizontal="left" vertical="center"/>
    </xf>
    <xf numFmtId="49" fontId="10" fillId="2" borderId="0" xfId="1" applyNumberFormat="1" applyFont="1" applyFill="1" applyAlignment="1" applyProtection="1">
      <alignment horizontal="left" vertical="center"/>
    </xf>
    <xf numFmtId="0" fontId="2" fillId="0" borderId="0" xfId="1" applyAlignment="1">
      <alignment horizontal="left" vertical="top"/>
      <protection locked="0"/>
    </xf>
    <xf numFmtId="0" fontId="0" fillId="0" borderId="0" xfId="0" applyAlignment="1">
      <alignment horizontal="left"/>
    </xf>
    <xf numFmtId="165" fontId="6" fillId="3" borderId="78" xfId="5" applyNumberFormat="1" applyFont="1" applyFill="1" applyBorder="1" applyAlignment="1" applyProtection="1">
      <alignment horizontal="center" vertical="center" wrapText="1"/>
    </xf>
    <xf numFmtId="165" fontId="6" fillId="3" borderId="16" xfId="5" applyNumberFormat="1" applyFont="1" applyFill="1" applyBorder="1" applyAlignment="1" applyProtection="1">
      <alignment horizontal="center" vertical="center" wrapText="1"/>
    </xf>
    <xf numFmtId="165" fontId="6" fillId="3" borderId="79" xfId="5" applyNumberFormat="1" applyFont="1" applyFill="1" applyBorder="1" applyAlignment="1" applyProtection="1">
      <alignment horizontal="center" vertical="center" wrapText="1"/>
    </xf>
    <xf numFmtId="165" fontId="4" fillId="2" borderId="78" xfId="5" applyNumberFormat="1" applyFont="1" applyFill="1" applyBorder="1" applyAlignment="1" applyProtection="1">
      <alignment horizontal="center" vertical="center" wrapText="1"/>
    </xf>
    <xf numFmtId="165" fontId="6" fillId="2" borderId="79" xfId="5" applyNumberFormat="1" applyFont="1" applyFill="1" applyBorder="1" applyAlignment="1" applyProtection="1">
      <alignment vertical="top" wrapText="1"/>
    </xf>
    <xf numFmtId="165" fontId="4" fillId="2" borderId="76" xfId="2" applyNumberFormat="1" applyFont="1" applyFill="1" applyBorder="1" applyAlignment="1" applyProtection="1">
      <alignment horizontal="left" vertical="center" wrapText="1"/>
    </xf>
    <xf numFmtId="165" fontId="4" fillId="2" borderId="76" xfId="5" applyNumberFormat="1" applyFont="1" applyFill="1" applyBorder="1" applyAlignment="1" applyProtection="1">
      <alignment vertical="top" wrapText="1"/>
    </xf>
    <xf numFmtId="165" fontId="6" fillId="2" borderId="76" xfId="5" applyNumberFormat="1" applyFont="1" applyFill="1" applyBorder="1" applyAlignment="1" applyProtection="1">
      <alignment vertical="top" wrapText="1"/>
    </xf>
    <xf numFmtId="165" fontId="6" fillId="2" borderId="34" xfId="5" applyNumberFormat="1" applyFont="1" applyFill="1" applyBorder="1" applyAlignment="1" applyProtection="1">
      <alignment vertical="center" wrapText="1"/>
    </xf>
    <xf numFmtId="0" fontId="10" fillId="2" borderId="76" xfId="1" applyFont="1" applyFill="1" applyBorder="1" applyProtection="1"/>
    <xf numFmtId="0" fontId="4" fillId="2" borderId="76" xfId="1" applyFont="1" applyFill="1" applyBorder="1" applyAlignment="1" applyProtection="1">
      <alignment horizontal="left" vertical="center" wrapText="1"/>
    </xf>
    <xf numFmtId="3" fontId="4" fillId="2" borderId="76" xfId="1" applyNumberFormat="1" applyFont="1" applyFill="1" applyBorder="1" applyAlignment="1" applyProtection="1">
      <alignment horizontal="left" vertical="center" wrapText="1"/>
    </xf>
    <xf numFmtId="9" fontId="4" fillId="2" borderId="76" xfId="1" applyNumberFormat="1" applyFont="1" applyFill="1" applyBorder="1" applyAlignment="1" applyProtection="1">
      <alignment horizontal="left" vertical="center" wrapText="1"/>
    </xf>
    <xf numFmtId="9" fontId="6" fillId="2" borderId="76" xfId="1" applyNumberFormat="1" applyFont="1" applyFill="1" applyBorder="1" applyAlignment="1" applyProtection="1">
      <alignment horizontal="left" vertical="center" wrapText="1"/>
    </xf>
    <xf numFmtId="0" fontId="16" fillId="0" borderId="0" xfId="6" applyFont="1" applyAlignment="1">
      <alignment horizontal="center"/>
    </xf>
    <xf numFmtId="0" fontId="16" fillId="0" borderId="28" xfId="6" applyFont="1" applyBorder="1" applyAlignment="1">
      <alignment horizontal="center"/>
    </xf>
    <xf numFmtId="0" fontId="19" fillId="0" borderId="0" xfId="6" applyFont="1" applyAlignment="1">
      <alignment horizontal="center"/>
    </xf>
    <xf numFmtId="0" fontId="19" fillId="0" borderId="28" xfId="6" applyFont="1" applyBorder="1" applyAlignment="1">
      <alignment horizontal="center"/>
    </xf>
    <xf numFmtId="0" fontId="16" fillId="0" borderId="33" xfId="6" applyFont="1" applyBorder="1"/>
    <xf numFmtId="0" fontId="16" fillId="0" borderId="34" xfId="6" applyFont="1" applyBorder="1"/>
    <xf numFmtId="0" fontId="16" fillId="0" borderId="35" xfId="6" applyFont="1" applyBorder="1"/>
    <xf numFmtId="0" fontId="19" fillId="0" borderId="33" xfId="6" applyFont="1" applyBorder="1" applyAlignment="1">
      <alignment horizontal="left"/>
    </xf>
    <xf numFmtId="0" fontId="19" fillId="0" borderId="34" xfId="6" applyFont="1" applyBorder="1" applyAlignment="1">
      <alignment horizontal="left"/>
    </xf>
    <xf numFmtId="0" fontId="19" fillId="0" borderId="35" xfId="6" applyFont="1" applyBorder="1" applyAlignment="1">
      <alignment horizontal="left"/>
    </xf>
    <xf numFmtId="0" fontId="16" fillId="0" borderId="25" xfId="6" applyFont="1" applyBorder="1" applyAlignment="1">
      <alignment horizontal="left"/>
    </xf>
    <xf numFmtId="0" fontId="16" fillId="0" borderId="0" xfId="6" applyFont="1" applyAlignment="1">
      <alignment horizontal="left"/>
    </xf>
    <xf numFmtId="0" fontId="16" fillId="0" borderId="28" xfId="6" applyFont="1" applyBorder="1" applyAlignment="1">
      <alignment horizontal="left"/>
    </xf>
    <xf numFmtId="167" fontId="23" fillId="0" borderId="0" xfId="8" applyNumberFormat="1" applyFont="1" applyAlignment="1" applyProtection="1">
      <alignment horizontal="right" vertical="center"/>
    </xf>
    <xf numFmtId="0" fontId="19" fillId="0" borderId="36" xfId="6" applyFont="1" applyBorder="1" applyAlignment="1">
      <alignment horizontal="left"/>
    </xf>
    <xf numFmtId="0" fontId="19" fillId="0" borderId="33" xfId="6" applyFont="1" applyBorder="1" applyAlignment="1">
      <alignment horizontal="left" vertical="top" wrapText="1"/>
    </xf>
    <xf numFmtId="0" fontId="19" fillId="0" borderId="34" xfId="6" applyFont="1" applyBorder="1" applyAlignment="1">
      <alignment horizontal="left" vertical="top" wrapText="1"/>
    </xf>
    <xf numFmtId="0" fontId="19" fillId="0" borderId="35" xfId="6" applyFont="1" applyBorder="1" applyAlignment="1">
      <alignment horizontal="left" vertical="top" wrapText="1"/>
    </xf>
    <xf numFmtId="0" fontId="19" fillId="0" borderId="33" xfId="6" applyFont="1" applyBorder="1" applyAlignment="1">
      <alignment horizontal="left" wrapText="1"/>
    </xf>
    <xf numFmtId="0" fontId="19" fillId="0" borderId="34" xfId="6" applyFont="1" applyBorder="1" applyAlignment="1">
      <alignment horizontal="left" wrapText="1"/>
    </xf>
    <xf numFmtId="0" fontId="19" fillId="0" borderId="35" xfId="6" applyFont="1" applyBorder="1" applyAlignment="1">
      <alignment horizontal="left" wrapText="1"/>
    </xf>
    <xf numFmtId="169" fontId="20" fillId="0" borderId="0" xfId="6" applyNumberFormat="1" applyFont="1" applyAlignment="1">
      <alignment horizontal="center"/>
    </xf>
    <xf numFmtId="0" fontId="16" fillId="0" borderId="33" xfId="6" applyFont="1" applyBorder="1" applyAlignment="1">
      <alignment horizontal="left"/>
    </xf>
    <xf numFmtId="0" fontId="16" fillId="0" borderId="34" xfId="6" applyFont="1" applyBorder="1" applyAlignment="1">
      <alignment horizontal="left"/>
    </xf>
    <xf numFmtId="0" fontId="16" fillId="0" borderId="35" xfId="6" applyFont="1" applyBorder="1" applyAlignment="1">
      <alignment horizontal="left"/>
    </xf>
    <xf numFmtId="0" fontId="22" fillId="0" borderId="33" xfId="6" applyFont="1" applyBorder="1" applyAlignment="1">
      <alignment horizontal="center"/>
    </xf>
    <xf numFmtId="0" fontId="22" fillId="0" borderId="35" xfId="6" applyFont="1" applyBorder="1" applyAlignment="1">
      <alignment horizontal="center"/>
    </xf>
    <xf numFmtId="0" fontId="16" fillId="0" borderId="33" xfId="6" applyFont="1" applyBorder="1" applyAlignment="1">
      <alignment horizontal="center"/>
    </xf>
    <xf numFmtId="0" fontId="16" fillId="0" borderId="36" xfId="6" applyFont="1" applyBorder="1" applyAlignment="1">
      <alignment horizontal="center"/>
    </xf>
    <xf numFmtId="0" fontId="16" fillId="0" borderId="25" xfId="6" applyFont="1" applyBorder="1" applyAlignment="1">
      <alignment horizontal="center"/>
    </xf>
    <xf numFmtId="0" fontId="16" fillId="0" borderId="2" xfId="6" applyFont="1" applyBorder="1" applyAlignment="1">
      <alignment horizontal="center" wrapText="1"/>
    </xf>
    <xf numFmtId="0" fontId="16" fillId="0" borderId="26" xfId="6" applyFont="1" applyBorder="1" applyAlignment="1">
      <alignment horizontal="center" wrapText="1"/>
    </xf>
    <xf numFmtId="0" fontId="16" fillId="0" borderId="33" xfId="6" applyFont="1" applyBorder="1" applyAlignment="1">
      <alignment horizontal="center" vertical="center"/>
    </xf>
    <xf numFmtId="0" fontId="16" fillId="0" borderId="34" xfId="6" applyFont="1" applyBorder="1" applyAlignment="1">
      <alignment horizontal="center" vertical="center"/>
    </xf>
    <xf numFmtId="0" fontId="16" fillId="0" borderId="35" xfId="6" applyFont="1" applyBorder="1" applyAlignment="1">
      <alignment horizontal="center" vertical="center"/>
    </xf>
    <xf numFmtId="0" fontId="21" fillId="0" borderId="33" xfId="6" applyFont="1" applyBorder="1" applyAlignment="1">
      <alignment horizontal="center" vertical="center" wrapText="1"/>
    </xf>
    <xf numFmtId="0" fontId="21" fillId="0" borderId="35" xfId="6" applyFont="1" applyBorder="1" applyAlignment="1">
      <alignment horizontal="center" vertical="center" wrapText="1"/>
    </xf>
    <xf numFmtId="0" fontId="16" fillId="0" borderId="36" xfId="6" applyFont="1" applyBorder="1" applyAlignment="1">
      <alignment horizontal="center" vertical="center"/>
    </xf>
    <xf numFmtId="0" fontId="6" fillId="2" borderId="77" xfId="1" applyFont="1" applyFill="1" applyBorder="1" applyAlignment="1" applyProtection="1">
      <alignment horizontal="center" vertical="center" wrapText="1"/>
    </xf>
    <xf numFmtId="49" fontId="6" fillId="3" borderId="2" xfId="1" applyNumberFormat="1" applyFont="1" applyFill="1" applyBorder="1" applyAlignment="1" applyProtection="1">
      <alignment horizontal="center" vertical="center" wrapText="1"/>
    </xf>
    <xf numFmtId="0" fontId="6" fillId="2" borderId="80" xfId="1" applyFont="1" applyFill="1" applyBorder="1" applyAlignment="1" applyProtection="1">
      <alignment horizontal="left" vertical="center" wrapText="1"/>
    </xf>
    <xf numFmtId="0" fontId="6" fillId="2" borderId="81" xfId="1" applyFont="1" applyFill="1" applyBorder="1" applyAlignment="1" applyProtection="1">
      <alignment horizontal="left" vertical="center" wrapText="1"/>
    </xf>
    <xf numFmtId="0" fontId="6" fillId="2" borderId="82" xfId="1" applyFont="1" applyFill="1" applyBorder="1" applyAlignment="1" applyProtection="1">
      <alignment horizontal="left" vertical="center" wrapText="1"/>
    </xf>
    <xf numFmtId="0" fontId="6" fillId="2" borderId="0" xfId="1" applyFont="1" applyFill="1" applyAlignment="1" applyProtection="1">
      <alignment horizontal="center" vertical="center"/>
    </xf>
    <xf numFmtId="0" fontId="6" fillId="2" borderId="14" xfId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 wrapText="1"/>
    </xf>
    <xf numFmtId="0" fontId="6" fillId="2" borderId="15" xfId="1" applyFont="1" applyFill="1" applyBorder="1" applyAlignment="1" applyProtection="1">
      <alignment horizontal="center" vertical="center" wrapText="1"/>
    </xf>
    <xf numFmtId="49" fontId="6" fillId="2" borderId="7" xfId="1" applyNumberFormat="1" applyFont="1" applyFill="1" applyBorder="1" applyAlignment="1" applyProtection="1">
      <alignment horizontal="left" vertical="center" wrapText="1"/>
    </xf>
    <xf numFmtId="49" fontId="6" fillId="2" borderId="10" xfId="1" applyNumberFormat="1" applyFont="1" applyFill="1" applyBorder="1" applyAlignment="1" applyProtection="1">
      <alignment horizontal="left" vertical="center" wrapText="1"/>
    </xf>
    <xf numFmtId="49" fontId="6" fillId="2" borderId="34" xfId="1" applyNumberFormat="1" applyFont="1" applyFill="1" applyBorder="1" applyAlignment="1" applyProtection="1">
      <alignment horizontal="left" vertical="center" wrapText="1"/>
    </xf>
    <xf numFmtId="49" fontId="6" fillId="2" borderId="8" xfId="1" applyNumberFormat="1" applyFont="1" applyFill="1" applyBorder="1" applyAlignment="1" applyProtection="1">
      <alignment horizontal="left" vertical="center" wrapText="1"/>
    </xf>
    <xf numFmtId="0" fontId="6" fillId="2" borderId="7" xfId="1" applyFont="1" applyFill="1" applyBorder="1" applyAlignment="1" applyProtection="1">
      <alignment horizontal="center" vertical="center" wrapText="1"/>
    </xf>
    <xf numFmtId="0" fontId="6" fillId="2" borderId="10" xfId="1" applyFont="1" applyFill="1" applyBorder="1" applyAlignment="1" applyProtection="1">
      <alignment horizontal="center" vertical="center" wrapText="1"/>
    </xf>
    <xf numFmtId="0" fontId="6" fillId="2" borderId="8" xfId="1" applyFont="1" applyFill="1" applyBorder="1" applyAlignment="1" applyProtection="1">
      <alignment horizontal="center" vertical="center" wrapText="1"/>
    </xf>
    <xf numFmtId="0" fontId="6" fillId="2" borderId="0" xfId="1" applyFont="1" applyFill="1" applyAlignment="1" applyProtection="1">
      <alignment horizontal="center"/>
    </xf>
    <xf numFmtId="0" fontId="4" fillId="2" borderId="0" xfId="1" applyFont="1" applyFill="1" applyAlignment="1" applyProtection="1">
      <alignment horizontal="center"/>
    </xf>
    <xf numFmtId="49" fontId="6" fillId="2" borderId="19" xfId="1" applyNumberFormat="1" applyFont="1" applyFill="1" applyBorder="1" applyAlignment="1" applyProtection="1">
      <alignment horizontal="left" vertical="center" wrapText="1"/>
    </xf>
    <xf numFmtId="49" fontId="6" fillId="2" borderId="20" xfId="1" applyNumberFormat="1" applyFont="1" applyFill="1" applyBorder="1" applyAlignment="1" applyProtection="1">
      <alignment horizontal="left" vertical="center" wrapText="1"/>
    </xf>
    <xf numFmtId="49" fontId="6" fillId="2" borderId="21" xfId="1" applyNumberFormat="1" applyFont="1" applyFill="1" applyBorder="1" applyAlignment="1" applyProtection="1">
      <alignment horizontal="left" vertical="center" wrapText="1"/>
    </xf>
    <xf numFmtId="43" fontId="6" fillId="2" borderId="0" xfId="1" applyNumberFormat="1" applyFont="1" applyFill="1" applyAlignment="1" applyProtection="1">
      <alignment horizontal="left" vertical="top"/>
    </xf>
    <xf numFmtId="0" fontId="6" fillId="2" borderId="0" xfId="1" applyFont="1" applyFill="1" applyAlignment="1" applyProtection="1">
      <alignment horizontal="left" vertical="top"/>
    </xf>
    <xf numFmtId="0" fontId="14" fillId="2" borderId="0" xfId="1" applyFont="1" applyFill="1" applyAlignment="1" applyProtection="1">
      <alignment horizontal="center"/>
    </xf>
    <xf numFmtId="0" fontId="8" fillId="2" borderId="0" xfId="1" applyFont="1" applyFill="1" applyAlignment="1" applyProtection="1">
      <alignment horizontal="center"/>
    </xf>
    <xf numFmtId="0" fontId="5" fillId="2" borderId="0" xfId="1" applyFont="1" applyFill="1" applyAlignment="1" applyProtection="1">
      <alignment horizontal="right"/>
    </xf>
    <xf numFmtId="49" fontId="6" fillId="3" borderId="6" xfId="1" applyNumberFormat="1" applyFont="1" applyFill="1" applyBorder="1" applyAlignment="1" applyProtection="1">
      <alignment horizontal="center" vertical="center" wrapText="1"/>
    </xf>
    <xf numFmtId="49" fontId="6" fillId="3" borderId="16" xfId="1" applyNumberFormat="1" applyFont="1" applyFill="1" applyBorder="1" applyAlignment="1" applyProtection="1">
      <alignment horizontal="center" vertical="center" wrapText="1"/>
    </xf>
    <xf numFmtId="49" fontId="6" fillId="3" borderId="9" xfId="1" applyNumberFormat="1" applyFont="1" applyFill="1" applyBorder="1" applyAlignment="1" applyProtection="1">
      <alignment horizontal="center" vertical="center" wrapText="1"/>
    </xf>
    <xf numFmtId="165" fontId="6" fillId="3" borderId="2" xfId="5" applyNumberFormat="1" applyFont="1" applyFill="1" applyBorder="1" applyAlignment="1" applyProtection="1">
      <alignment horizontal="center" vertical="center" wrapText="1"/>
    </xf>
    <xf numFmtId="3" fontId="6" fillId="3" borderId="2" xfId="1" applyNumberFormat="1" applyFont="1" applyFill="1" applyBorder="1" applyAlignment="1" applyProtection="1">
      <alignment horizontal="center" vertical="center" wrapText="1"/>
    </xf>
    <xf numFmtId="9" fontId="6" fillId="3" borderId="2" xfId="11" applyFont="1" applyFill="1" applyBorder="1" applyAlignment="1" applyProtection="1">
      <alignment horizontal="center" vertical="center" wrapText="1"/>
    </xf>
    <xf numFmtId="43" fontId="11" fillId="2" borderId="0" xfId="1" applyNumberFormat="1" applyFont="1" applyFill="1" applyAlignment="1" applyProtection="1">
      <alignment horizontal="left"/>
    </xf>
    <xf numFmtId="43" fontId="7" fillId="2" borderId="0" xfId="1" applyNumberFormat="1" applyFont="1" applyFill="1" applyAlignment="1" applyProtection="1">
      <alignment horizontal="center" vertical="top" wrapText="1"/>
    </xf>
    <xf numFmtId="165" fontId="6" fillId="3" borderId="4" xfId="2" applyNumberFormat="1" applyFont="1" applyFill="1" applyBorder="1" applyAlignment="1" applyProtection="1">
      <alignment horizontal="center" vertical="center" wrapText="1"/>
    </xf>
    <xf numFmtId="165" fontId="6" fillId="3" borderId="56" xfId="2" applyNumberFormat="1" applyFont="1" applyFill="1" applyBorder="1" applyAlignment="1" applyProtection="1">
      <alignment horizontal="center" vertical="center" wrapText="1"/>
    </xf>
    <xf numFmtId="165" fontId="6" fillId="3" borderId="11" xfId="2" applyNumberFormat="1" applyFont="1" applyFill="1" applyBorder="1" applyAlignment="1" applyProtection="1">
      <alignment horizontal="center" vertical="center" wrapText="1"/>
    </xf>
    <xf numFmtId="165" fontId="6" fillId="3" borderId="12" xfId="2" applyNumberFormat="1" applyFont="1" applyFill="1" applyBorder="1" applyAlignment="1" applyProtection="1">
      <alignment horizontal="center" vertical="center" wrapText="1"/>
    </xf>
    <xf numFmtId="165" fontId="6" fillId="3" borderId="5" xfId="2" applyNumberFormat="1" applyFont="1" applyFill="1" applyBorder="1" applyAlignment="1" applyProtection="1">
      <alignment horizontal="center" vertical="center" wrapText="1"/>
    </xf>
    <xf numFmtId="49" fontId="6" fillId="3" borderId="4" xfId="2" applyNumberFormat="1" applyFont="1" applyFill="1" applyBorder="1" applyAlignment="1" applyProtection="1">
      <alignment horizontal="center" vertical="center" wrapText="1"/>
    </xf>
    <xf numFmtId="49" fontId="6" fillId="3" borderId="56" xfId="2" applyNumberFormat="1" applyFont="1" applyFill="1" applyBorder="1" applyAlignment="1" applyProtection="1">
      <alignment horizontal="center" vertical="center" wrapText="1"/>
    </xf>
    <xf numFmtId="165" fontId="13" fillId="2" borderId="0" xfId="1" quotePrefix="1" applyNumberFormat="1" applyFont="1" applyFill="1" applyAlignment="1" applyProtection="1">
      <alignment horizontal="left"/>
    </xf>
    <xf numFmtId="165" fontId="4" fillId="2" borderId="0" xfId="1" applyNumberFormat="1" applyFont="1" applyFill="1" applyAlignment="1" applyProtection="1">
      <alignment horizontal="left"/>
    </xf>
    <xf numFmtId="43" fontId="6" fillId="2" borderId="0" xfId="2" applyNumberFormat="1" applyFont="1" applyFill="1" applyAlignment="1" applyProtection="1">
      <alignment horizontal="center"/>
    </xf>
    <xf numFmtId="43" fontId="4" fillId="2" borderId="0" xfId="2" applyNumberFormat="1" applyFont="1" applyFill="1" applyAlignment="1" applyProtection="1">
      <alignment horizontal="center"/>
    </xf>
    <xf numFmtId="43" fontId="11" fillId="2" borderId="0" xfId="2" applyNumberFormat="1" applyFont="1" applyFill="1" applyAlignment="1" applyProtection="1">
      <alignment horizontal="center" vertical="center"/>
    </xf>
    <xf numFmtId="165" fontId="13" fillId="2" borderId="0" xfId="1" quotePrefix="1" applyNumberFormat="1" applyFont="1" applyFill="1" applyAlignment="1" applyProtection="1">
      <alignment horizontal="left" vertical="top"/>
    </xf>
    <xf numFmtId="165" fontId="10" fillId="2" borderId="0" xfId="1" applyNumberFormat="1" applyFont="1" applyFill="1" applyAlignment="1" applyProtection="1">
      <alignment horizontal="left"/>
    </xf>
    <xf numFmtId="43" fontId="11" fillId="2" borderId="7" xfId="1" applyNumberFormat="1" applyFont="1" applyFill="1" applyBorder="1" applyAlignment="1" applyProtection="1">
      <alignment horizontal="center" vertical="center"/>
    </xf>
    <xf numFmtId="43" fontId="11" fillId="2" borderId="10" xfId="1" applyNumberFormat="1" applyFont="1" applyFill="1" applyBorder="1" applyAlignment="1" applyProtection="1">
      <alignment horizontal="center" vertical="center"/>
    </xf>
    <xf numFmtId="43" fontId="11" fillId="2" borderId="73" xfId="1" applyNumberFormat="1" applyFont="1" applyFill="1" applyBorder="1" applyAlignment="1" applyProtection="1">
      <alignment horizontal="center" vertical="center"/>
    </xf>
    <xf numFmtId="165" fontId="6" fillId="2" borderId="0" xfId="1" applyNumberFormat="1" applyFont="1" applyFill="1" applyAlignment="1" applyProtection="1">
      <alignment horizontal="left"/>
    </xf>
    <xf numFmtId="43" fontId="4" fillId="2" borderId="0" xfId="1" applyNumberFormat="1" applyFont="1" applyFill="1" applyAlignment="1" applyProtection="1">
      <alignment horizontal="center"/>
    </xf>
    <xf numFmtId="165" fontId="6" fillId="2" borderId="70" xfId="2" applyNumberFormat="1" applyFont="1" applyFill="1" applyBorder="1" applyAlignment="1" applyProtection="1">
      <alignment horizontal="left" vertical="center"/>
    </xf>
    <xf numFmtId="165" fontId="6" fillId="2" borderId="71" xfId="2" applyNumberFormat="1" applyFont="1" applyFill="1" applyBorder="1" applyAlignment="1" applyProtection="1">
      <alignment horizontal="left" vertical="center"/>
    </xf>
    <xf numFmtId="165" fontId="6" fillId="2" borderId="72" xfId="2" applyNumberFormat="1" applyFont="1" applyFill="1" applyBorder="1" applyAlignment="1" applyProtection="1">
      <alignment horizontal="left" vertical="center"/>
    </xf>
    <xf numFmtId="165" fontId="6" fillId="2" borderId="11" xfId="2" applyNumberFormat="1" applyFont="1" applyFill="1" applyBorder="1" applyAlignment="1" applyProtection="1">
      <alignment horizontal="left" vertical="center" wrapText="1"/>
    </xf>
    <xf numFmtId="165" fontId="6" fillId="2" borderId="12" xfId="2" applyNumberFormat="1" applyFont="1" applyFill="1" applyBorder="1" applyAlignment="1" applyProtection="1">
      <alignment horizontal="left" vertical="center" wrapText="1"/>
    </xf>
    <xf numFmtId="165" fontId="6" fillId="2" borderId="5" xfId="2" applyNumberFormat="1" applyFont="1" applyFill="1" applyBorder="1" applyAlignment="1" applyProtection="1">
      <alignment horizontal="left" vertical="center" wrapText="1"/>
    </xf>
    <xf numFmtId="165" fontId="6" fillId="2" borderId="11" xfId="2" applyNumberFormat="1" applyFont="1" applyFill="1" applyBorder="1" applyAlignment="1" applyProtection="1">
      <alignment horizontal="center" vertical="center" wrapText="1"/>
    </xf>
    <xf numFmtId="165" fontId="6" fillId="2" borderId="12" xfId="2" applyNumberFormat="1" applyFont="1" applyFill="1" applyBorder="1" applyAlignment="1" applyProtection="1">
      <alignment horizontal="center" vertical="center" wrapText="1"/>
    </xf>
    <xf numFmtId="165" fontId="6" fillId="2" borderId="69" xfId="2" applyNumberFormat="1" applyFont="1" applyFill="1" applyBorder="1" applyAlignment="1" applyProtection="1">
      <alignment horizontal="center" vertical="center" wrapText="1"/>
    </xf>
    <xf numFmtId="165" fontId="6" fillId="2" borderId="67" xfId="2" applyNumberFormat="1" applyFont="1" applyFill="1" applyBorder="1" applyAlignment="1" applyProtection="1">
      <alignment horizontal="left" vertical="center" wrapText="1"/>
    </xf>
    <xf numFmtId="165" fontId="6" fillId="2" borderId="58" xfId="2" applyNumberFormat="1" applyFont="1" applyFill="1" applyBorder="1" applyAlignment="1" applyProtection="1">
      <alignment horizontal="left" vertical="center" wrapText="1"/>
    </xf>
    <xf numFmtId="165" fontId="6" fillId="2" borderId="68" xfId="2" applyNumberFormat="1" applyFont="1" applyFill="1" applyBorder="1" applyAlignment="1" applyProtection="1">
      <alignment horizontal="left" vertical="center" wrapText="1"/>
    </xf>
    <xf numFmtId="165" fontId="6" fillId="2" borderId="65" xfId="2" applyNumberFormat="1" applyFont="1" applyFill="1" applyBorder="1" applyAlignment="1" applyProtection="1">
      <alignment horizontal="center" vertical="center" wrapText="1"/>
    </xf>
    <xf numFmtId="165" fontId="6" fillId="2" borderId="66" xfId="2" applyNumberFormat="1" applyFont="1" applyFill="1" applyBorder="1" applyAlignment="1" applyProtection="1">
      <alignment horizontal="center" vertical="center" wrapText="1"/>
    </xf>
    <xf numFmtId="165" fontId="6" fillId="2" borderId="63" xfId="2" applyNumberFormat="1" applyFont="1" applyFill="1" applyBorder="1" applyAlignment="1" applyProtection="1">
      <alignment horizontal="left" vertical="center" wrapText="1"/>
    </xf>
    <xf numFmtId="165" fontId="6" fillId="2" borderId="54" xfId="2" applyNumberFormat="1" applyFont="1" applyFill="1" applyBorder="1" applyAlignment="1" applyProtection="1">
      <alignment horizontal="left" vertical="center" wrapText="1"/>
    </xf>
    <xf numFmtId="165" fontId="6" fillId="2" borderId="64" xfId="2" applyNumberFormat="1" applyFont="1" applyFill="1" applyBorder="1" applyAlignment="1" applyProtection="1">
      <alignment horizontal="left" vertical="center" wrapText="1"/>
    </xf>
    <xf numFmtId="165" fontId="6" fillId="2" borderId="60" xfId="2" applyNumberFormat="1" applyFont="1" applyFill="1" applyBorder="1" applyAlignment="1" applyProtection="1">
      <alignment horizontal="center" vertical="center" wrapText="1"/>
    </xf>
    <xf numFmtId="165" fontId="6" fillId="2" borderId="61" xfId="2" applyNumberFormat="1" applyFont="1" applyFill="1" applyBorder="1" applyAlignment="1" applyProtection="1">
      <alignment horizontal="center" vertical="center" wrapText="1"/>
    </xf>
    <xf numFmtId="165" fontId="6" fillId="2" borderId="62" xfId="2" applyNumberFormat="1" applyFont="1" applyFill="1" applyBorder="1" applyAlignment="1" applyProtection="1">
      <alignment horizontal="center" vertical="center" wrapText="1"/>
    </xf>
    <xf numFmtId="165" fontId="6" fillId="2" borderId="7" xfId="2" applyNumberFormat="1" applyFont="1" applyFill="1" applyBorder="1" applyAlignment="1" applyProtection="1">
      <alignment horizontal="left" vertical="center" wrapText="1"/>
    </xf>
    <xf numFmtId="165" fontId="6" fillId="2" borderId="10" xfId="2" applyNumberFormat="1" applyFont="1" applyFill="1" applyBorder="1" applyAlignment="1" applyProtection="1">
      <alignment horizontal="left" vertical="center" wrapText="1"/>
    </xf>
    <xf numFmtId="165" fontId="6" fillId="2" borderId="8" xfId="2" applyNumberFormat="1" applyFont="1" applyFill="1" applyBorder="1" applyAlignment="1" applyProtection="1">
      <alignment horizontal="left" vertical="center" wrapText="1"/>
    </xf>
    <xf numFmtId="165" fontId="6" fillId="2" borderId="57" xfId="2" applyNumberFormat="1" applyFont="1" applyFill="1" applyBorder="1" applyAlignment="1" applyProtection="1">
      <alignment horizontal="center" vertical="center" wrapText="1"/>
    </xf>
    <xf numFmtId="165" fontId="6" fillId="2" borderId="58" xfId="2" applyNumberFormat="1" applyFont="1" applyFill="1" applyBorder="1" applyAlignment="1" applyProtection="1">
      <alignment horizontal="center" vertical="center" wrapText="1"/>
    </xf>
    <xf numFmtId="165" fontId="6" fillId="2" borderId="59" xfId="2" applyNumberFormat="1" applyFont="1" applyFill="1" applyBorder="1" applyAlignment="1" applyProtection="1">
      <alignment horizontal="center" vertical="center" wrapText="1"/>
    </xf>
  </cellXfs>
  <cellStyles count="12">
    <cellStyle name="Comma" xfId="5" builtinId="3"/>
    <cellStyle name="Comma 2" xfId="2"/>
    <cellStyle name="Comma 2 2" xfId="9"/>
    <cellStyle name="Comma 3" xfId="10"/>
    <cellStyle name="Comma_2008- 01 GTGT" xfId="7"/>
    <cellStyle name="Normal" xfId="0" builtinId="0"/>
    <cellStyle name="Normal 2" xfId="3"/>
    <cellStyle name="Normal 2 2" xfId="6"/>
    <cellStyle name="Normal 3" xfId="1"/>
    <cellStyle name="Normal 4" xfId="4"/>
    <cellStyle name="Normal_VAT declaration Sep" xfId="8"/>
    <cellStyle name="Percent" xfId="1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52"/>
  <sheetViews>
    <sheetView tabSelected="1" zoomScale="90" zoomScaleNormal="90" workbookViewId="0">
      <selection activeCell="K24" sqref="K24"/>
    </sheetView>
  </sheetViews>
  <sheetFormatPr defaultColWidth="9" defaultRowHeight="15.75" customHeight="1"/>
  <cols>
    <col min="1" max="1" width="5.7109375" style="143" customWidth="1"/>
    <col min="2" max="2" width="11.85546875" style="135" customWidth="1"/>
    <col min="3" max="3" width="10.42578125" style="135" customWidth="1"/>
    <col min="4" max="4" width="10.7109375" style="135" customWidth="1"/>
    <col min="5" max="5" width="9" style="135"/>
    <col min="6" max="6" width="20.42578125" style="135" customWidth="1"/>
    <col min="7" max="7" width="9" style="135" customWidth="1"/>
    <col min="8" max="8" width="6.42578125" style="135" customWidth="1"/>
    <col min="9" max="9" width="16.28515625" style="214" customWidth="1"/>
    <col min="10" max="10" width="4.7109375" style="135" customWidth="1"/>
    <col min="11" max="11" width="16.28515625" style="214" customWidth="1"/>
    <col min="12" max="13" width="12.42578125" style="135" customWidth="1"/>
    <col min="14" max="14" width="11.28515625" style="135" customWidth="1"/>
    <col min="15" max="256" width="9" style="135"/>
    <col min="257" max="257" width="5.7109375" style="135" customWidth="1"/>
    <col min="258" max="258" width="4.7109375" style="135" customWidth="1"/>
    <col min="259" max="259" width="10.42578125" style="135" customWidth="1"/>
    <col min="260" max="260" width="10.7109375" style="135" customWidth="1"/>
    <col min="261" max="261" width="9" style="135"/>
    <col min="262" max="262" width="20.42578125" style="135" customWidth="1"/>
    <col min="263" max="263" width="9" style="135" customWidth="1"/>
    <col min="264" max="264" width="6.42578125" style="135" customWidth="1"/>
    <col min="265" max="265" width="16.28515625" style="135" customWidth="1"/>
    <col min="266" max="266" width="4.7109375" style="135" customWidth="1"/>
    <col min="267" max="267" width="16.28515625" style="135" customWidth="1"/>
    <col min="268" max="269" width="12.42578125" style="135" customWidth="1"/>
    <col min="270" max="270" width="11.28515625" style="135" customWidth="1"/>
    <col min="271" max="512" width="9" style="135"/>
    <col min="513" max="513" width="5.7109375" style="135" customWidth="1"/>
    <col min="514" max="514" width="4.7109375" style="135" customWidth="1"/>
    <col min="515" max="515" width="10.42578125" style="135" customWidth="1"/>
    <col min="516" max="516" width="10.7109375" style="135" customWidth="1"/>
    <col min="517" max="517" width="9" style="135"/>
    <col min="518" max="518" width="20.42578125" style="135" customWidth="1"/>
    <col min="519" max="519" width="9" style="135" customWidth="1"/>
    <col min="520" max="520" width="6.42578125" style="135" customWidth="1"/>
    <col min="521" max="521" width="16.28515625" style="135" customWidth="1"/>
    <col min="522" max="522" width="4.7109375" style="135" customWidth="1"/>
    <col min="523" max="523" width="16.28515625" style="135" customWidth="1"/>
    <col min="524" max="525" width="12.42578125" style="135" customWidth="1"/>
    <col min="526" max="526" width="11.28515625" style="135" customWidth="1"/>
    <col min="527" max="768" width="9" style="135"/>
    <col min="769" max="769" width="5.7109375" style="135" customWidth="1"/>
    <col min="770" max="770" width="4.7109375" style="135" customWidth="1"/>
    <col min="771" max="771" width="10.42578125" style="135" customWidth="1"/>
    <col min="772" max="772" width="10.7109375" style="135" customWidth="1"/>
    <col min="773" max="773" width="9" style="135"/>
    <col min="774" max="774" width="20.42578125" style="135" customWidth="1"/>
    <col min="775" max="775" width="9" style="135" customWidth="1"/>
    <col min="776" max="776" width="6.42578125" style="135" customWidth="1"/>
    <col min="777" max="777" width="16.28515625" style="135" customWidth="1"/>
    <col min="778" max="778" width="4.7109375" style="135" customWidth="1"/>
    <col min="779" max="779" width="16.28515625" style="135" customWidth="1"/>
    <col min="780" max="781" width="12.42578125" style="135" customWidth="1"/>
    <col min="782" max="782" width="11.28515625" style="135" customWidth="1"/>
    <col min="783" max="1024" width="9" style="135"/>
    <col min="1025" max="1025" width="5.7109375" style="135" customWidth="1"/>
    <col min="1026" max="1026" width="4.7109375" style="135" customWidth="1"/>
    <col min="1027" max="1027" width="10.42578125" style="135" customWidth="1"/>
    <col min="1028" max="1028" width="10.7109375" style="135" customWidth="1"/>
    <col min="1029" max="1029" width="9" style="135"/>
    <col min="1030" max="1030" width="20.42578125" style="135" customWidth="1"/>
    <col min="1031" max="1031" width="9" style="135" customWidth="1"/>
    <col min="1032" max="1032" width="6.42578125" style="135" customWidth="1"/>
    <col min="1033" max="1033" width="16.28515625" style="135" customWidth="1"/>
    <col min="1034" max="1034" width="4.7109375" style="135" customWidth="1"/>
    <col min="1035" max="1035" width="16.28515625" style="135" customWidth="1"/>
    <col min="1036" max="1037" width="12.42578125" style="135" customWidth="1"/>
    <col min="1038" max="1038" width="11.28515625" style="135" customWidth="1"/>
    <col min="1039" max="1280" width="9" style="135"/>
    <col min="1281" max="1281" width="5.7109375" style="135" customWidth="1"/>
    <col min="1282" max="1282" width="4.7109375" style="135" customWidth="1"/>
    <col min="1283" max="1283" width="10.42578125" style="135" customWidth="1"/>
    <col min="1284" max="1284" width="10.7109375" style="135" customWidth="1"/>
    <col min="1285" max="1285" width="9" style="135"/>
    <col min="1286" max="1286" width="20.42578125" style="135" customWidth="1"/>
    <col min="1287" max="1287" width="9" style="135" customWidth="1"/>
    <col min="1288" max="1288" width="6.42578125" style="135" customWidth="1"/>
    <col min="1289" max="1289" width="16.28515625" style="135" customWidth="1"/>
    <col min="1290" max="1290" width="4.7109375" style="135" customWidth="1"/>
    <col min="1291" max="1291" width="16.28515625" style="135" customWidth="1"/>
    <col min="1292" max="1293" width="12.42578125" style="135" customWidth="1"/>
    <col min="1294" max="1294" width="11.28515625" style="135" customWidth="1"/>
    <col min="1295" max="1536" width="9" style="135"/>
    <col min="1537" max="1537" width="5.7109375" style="135" customWidth="1"/>
    <col min="1538" max="1538" width="4.7109375" style="135" customWidth="1"/>
    <col min="1539" max="1539" width="10.42578125" style="135" customWidth="1"/>
    <col min="1540" max="1540" width="10.7109375" style="135" customWidth="1"/>
    <col min="1541" max="1541" width="9" style="135"/>
    <col min="1542" max="1542" width="20.42578125" style="135" customWidth="1"/>
    <col min="1543" max="1543" width="9" style="135" customWidth="1"/>
    <col min="1544" max="1544" width="6.42578125" style="135" customWidth="1"/>
    <col min="1545" max="1545" width="16.28515625" style="135" customWidth="1"/>
    <col min="1546" max="1546" width="4.7109375" style="135" customWidth="1"/>
    <col min="1547" max="1547" width="16.28515625" style="135" customWidth="1"/>
    <col min="1548" max="1549" width="12.42578125" style="135" customWidth="1"/>
    <col min="1550" max="1550" width="11.28515625" style="135" customWidth="1"/>
    <col min="1551" max="1792" width="9" style="135"/>
    <col min="1793" max="1793" width="5.7109375" style="135" customWidth="1"/>
    <col min="1794" max="1794" width="4.7109375" style="135" customWidth="1"/>
    <col min="1795" max="1795" width="10.42578125" style="135" customWidth="1"/>
    <col min="1796" max="1796" width="10.7109375" style="135" customWidth="1"/>
    <col min="1797" max="1797" width="9" style="135"/>
    <col min="1798" max="1798" width="20.42578125" style="135" customWidth="1"/>
    <col min="1799" max="1799" width="9" style="135" customWidth="1"/>
    <col min="1800" max="1800" width="6.42578125" style="135" customWidth="1"/>
    <col min="1801" max="1801" width="16.28515625" style="135" customWidth="1"/>
    <col min="1802" max="1802" width="4.7109375" style="135" customWidth="1"/>
    <col min="1803" max="1803" width="16.28515625" style="135" customWidth="1"/>
    <col min="1804" max="1805" width="12.42578125" style="135" customWidth="1"/>
    <col min="1806" max="1806" width="11.28515625" style="135" customWidth="1"/>
    <col min="1807" max="2048" width="9" style="135"/>
    <col min="2049" max="2049" width="5.7109375" style="135" customWidth="1"/>
    <col min="2050" max="2050" width="4.7109375" style="135" customWidth="1"/>
    <col min="2051" max="2051" width="10.42578125" style="135" customWidth="1"/>
    <col min="2052" max="2052" width="10.7109375" style="135" customWidth="1"/>
    <col min="2053" max="2053" width="9" style="135"/>
    <col min="2054" max="2054" width="20.42578125" style="135" customWidth="1"/>
    <col min="2055" max="2055" width="9" style="135" customWidth="1"/>
    <col min="2056" max="2056" width="6.42578125" style="135" customWidth="1"/>
    <col min="2057" max="2057" width="16.28515625" style="135" customWidth="1"/>
    <col min="2058" max="2058" width="4.7109375" style="135" customWidth="1"/>
    <col min="2059" max="2059" width="16.28515625" style="135" customWidth="1"/>
    <col min="2060" max="2061" width="12.42578125" style="135" customWidth="1"/>
    <col min="2062" max="2062" width="11.28515625" style="135" customWidth="1"/>
    <col min="2063" max="2304" width="9" style="135"/>
    <col min="2305" max="2305" width="5.7109375" style="135" customWidth="1"/>
    <col min="2306" max="2306" width="4.7109375" style="135" customWidth="1"/>
    <col min="2307" max="2307" width="10.42578125" style="135" customWidth="1"/>
    <col min="2308" max="2308" width="10.7109375" style="135" customWidth="1"/>
    <col min="2309" max="2309" width="9" style="135"/>
    <col min="2310" max="2310" width="20.42578125" style="135" customWidth="1"/>
    <col min="2311" max="2311" width="9" style="135" customWidth="1"/>
    <col min="2312" max="2312" width="6.42578125" style="135" customWidth="1"/>
    <col min="2313" max="2313" width="16.28515625" style="135" customWidth="1"/>
    <col min="2314" max="2314" width="4.7109375" style="135" customWidth="1"/>
    <col min="2315" max="2315" width="16.28515625" style="135" customWidth="1"/>
    <col min="2316" max="2317" width="12.42578125" style="135" customWidth="1"/>
    <col min="2318" max="2318" width="11.28515625" style="135" customWidth="1"/>
    <col min="2319" max="2560" width="9" style="135"/>
    <col min="2561" max="2561" width="5.7109375" style="135" customWidth="1"/>
    <col min="2562" max="2562" width="4.7109375" style="135" customWidth="1"/>
    <col min="2563" max="2563" width="10.42578125" style="135" customWidth="1"/>
    <col min="2564" max="2564" width="10.7109375" style="135" customWidth="1"/>
    <col min="2565" max="2565" width="9" style="135"/>
    <col min="2566" max="2566" width="20.42578125" style="135" customWidth="1"/>
    <col min="2567" max="2567" width="9" style="135" customWidth="1"/>
    <col min="2568" max="2568" width="6.42578125" style="135" customWidth="1"/>
    <col min="2569" max="2569" width="16.28515625" style="135" customWidth="1"/>
    <col min="2570" max="2570" width="4.7109375" style="135" customWidth="1"/>
    <col min="2571" max="2571" width="16.28515625" style="135" customWidth="1"/>
    <col min="2572" max="2573" width="12.42578125" style="135" customWidth="1"/>
    <col min="2574" max="2574" width="11.28515625" style="135" customWidth="1"/>
    <col min="2575" max="2816" width="9" style="135"/>
    <col min="2817" max="2817" width="5.7109375" style="135" customWidth="1"/>
    <col min="2818" max="2818" width="4.7109375" style="135" customWidth="1"/>
    <col min="2819" max="2819" width="10.42578125" style="135" customWidth="1"/>
    <col min="2820" max="2820" width="10.7109375" style="135" customWidth="1"/>
    <col min="2821" max="2821" width="9" style="135"/>
    <col min="2822" max="2822" width="20.42578125" style="135" customWidth="1"/>
    <col min="2823" max="2823" width="9" style="135" customWidth="1"/>
    <col min="2824" max="2824" width="6.42578125" style="135" customWidth="1"/>
    <col min="2825" max="2825" width="16.28515625" style="135" customWidth="1"/>
    <col min="2826" max="2826" width="4.7109375" style="135" customWidth="1"/>
    <col min="2827" max="2827" width="16.28515625" style="135" customWidth="1"/>
    <col min="2828" max="2829" width="12.42578125" style="135" customWidth="1"/>
    <col min="2830" max="2830" width="11.28515625" style="135" customWidth="1"/>
    <col min="2831" max="3072" width="9" style="135"/>
    <col min="3073" max="3073" width="5.7109375" style="135" customWidth="1"/>
    <col min="3074" max="3074" width="4.7109375" style="135" customWidth="1"/>
    <col min="3075" max="3075" width="10.42578125" style="135" customWidth="1"/>
    <col min="3076" max="3076" width="10.7109375" style="135" customWidth="1"/>
    <col min="3077" max="3077" width="9" style="135"/>
    <col min="3078" max="3078" width="20.42578125" style="135" customWidth="1"/>
    <col min="3079" max="3079" width="9" style="135" customWidth="1"/>
    <col min="3080" max="3080" width="6.42578125" style="135" customWidth="1"/>
    <col min="3081" max="3081" width="16.28515625" style="135" customWidth="1"/>
    <col min="3082" max="3082" width="4.7109375" style="135" customWidth="1"/>
    <col min="3083" max="3083" width="16.28515625" style="135" customWidth="1"/>
    <col min="3084" max="3085" width="12.42578125" style="135" customWidth="1"/>
    <col min="3086" max="3086" width="11.28515625" style="135" customWidth="1"/>
    <col min="3087" max="3328" width="9" style="135"/>
    <col min="3329" max="3329" width="5.7109375" style="135" customWidth="1"/>
    <col min="3330" max="3330" width="4.7109375" style="135" customWidth="1"/>
    <col min="3331" max="3331" width="10.42578125" style="135" customWidth="1"/>
    <col min="3332" max="3332" width="10.7109375" style="135" customWidth="1"/>
    <col min="3333" max="3333" width="9" style="135"/>
    <col min="3334" max="3334" width="20.42578125" style="135" customWidth="1"/>
    <col min="3335" max="3335" width="9" style="135" customWidth="1"/>
    <col min="3336" max="3336" width="6.42578125" style="135" customWidth="1"/>
    <col min="3337" max="3337" width="16.28515625" style="135" customWidth="1"/>
    <col min="3338" max="3338" width="4.7109375" style="135" customWidth="1"/>
    <col min="3339" max="3339" width="16.28515625" style="135" customWidth="1"/>
    <col min="3340" max="3341" width="12.42578125" style="135" customWidth="1"/>
    <col min="3342" max="3342" width="11.28515625" style="135" customWidth="1"/>
    <col min="3343" max="3584" width="9" style="135"/>
    <col min="3585" max="3585" width="5.7109375" style="135" customWidth="1"/>
    <col min="3586" max="3586" width="4.7109375" style="135" customWidth="1"/>
    <col min="3587" max="3587" width="10.42578125" style="135" customWidth="1"/>
    <col min="3588" max="3588" width="10.7109375" style="135" customWidth="1"/>
    <col min="3589" max="3589" width="9" style="135"/>
    <col min="3590" max="3590" width="20.42578125" style="135" customWidth="1"/>
    <col min="3591" max="3591" width="9" style="135" customWidth="1"/>
    <col min="3592" max="3592" width="6.42578125" style="135" customWidth="1"/>
    <col min="3593" max="3593" width="16.28515625" style="135" customWidth="1"/>
    <col min="3594" max="3594" width="4.7109375" style="135" customWidth="1"/>
    <col min="3595" max="3595" width="16.28515625" style="135" customWidth="1"/>
    <col min="3596" max="3597" width="12.42578125" style="135" customWidth="1"/>
    <col min="3598" max="3598" width="11.28515625" style="135" customWidth="1"/>
    <col min="3599" max="3840" width="9" style="135"/>
    <col min="3841" max="3841" width="5.7109375" style="135" customWidth="1"/>
    <col min="3842" max="3842" width="4.7109375" style="135" customWidth="1"/>
    <col min="3843" max="3843" width="10.42578125" style="135" customWidth="1"/>
    <col min="3844" max="3844" width="10.7109375" style="135" customWidth="1"/>
    <col min="3845" max="3845" width="9" style="135"/>
    <col min="3846" max="3846" width="20.42578125" style="135" customWidth="1"/>
    <col min="3847" max="3847" width="9" style="135" customWidth="1"/>
    <col min="3848" max="3848" width="6.42578125" style="135" customWidth="1"/>
    <col min="3849" max="3849" width="16.28515625" style="135" customWidth="1"/>
    <col min="3850" max="3850" width="4.7109375" style="135" customWidth="1"/>
    <col min="3851" max="3851" width="16.28515625" style="135" customWidth="1"/>
    <col min="3852" max="3853" width="12.42578125" style="135" customWidth="1"/>
    <col min="3854" max="3854" width="11.28515625" style="135" customWidth="1"/>
    <col min="3855" max="4096" width="9" style="135"/>
    <col min="4097" max="4097" width="5.7109375" style="135" customWidth="1"/>
    <col min="4098" max="4098" width="4.7109375" style="135" customWidth="1"/>
    <col min="4099" max="4099" width="10.42578125" style="135" customWidth="1"/>
    <col min="4100" max="4100" width="10.7109375" style="135" customWidth="1"/>
    <col min="4101" max="4101" width="9" style="135"/>
    <col min="4102" max="4102" width="20.42578125" style="135" customWidth="1"/>
    <col min="4103" max="4103" width="9" style="135" customWidth="1"/>
    <col min="4104" max="4104" width="6.42578125" style="135" customWidth="1"/>
    <col min="4105" max="4105" width="16.28515625" style="135" customWidth="1"/>
    <col min="4106" max="4106" width="4.7109375" style="135" customWidth="1"/>
    <col min="4107" max="4107" width="16.28515625" style="135" customWidth="1"/>
    <col min="4108" max="4109" width="12.42578125" style="135" customWidth="1"/>
    <col min="4110" max="4110" width="11.28515625" style="135" customWidth="1"/>
    <col min="4111" max="4352" width="9" style="135"/>
    <col min="4353" max="4353" width="5.7109375" style="135" customWidth="1"/>
    <col min="4354" max="4354" width="4.7109375" style="135" customWidth="1"/>
    <col min="4355" max="4355" width="10.42578125" style="135" customWidth="1"/>
    <col min="4356" max="4356" width="10.7109375" style="135" customWidth="1"/>
    <col min="4357" max="4357" width="9" style="135"/>
    <col min="4358" max="4358" width="20.42578125" style="135" customWidth="1"/>
    <col min="4359" max="4359" width="9" style="135" customWidth="1"/>
    <col min="4360" max="4360" width="6.42578125" style="135" customWidth="1"/>
    <col min="4361" max="4361" width="16.28515625" style="135" customWidth="1"/>
    <col min="4362" max="4362" width="4.7109375" style="135" customWidth="1"/>
    <col min="4363" max="4363" width="16.28515625" style="135" customWidth="1"/>
    <col min="4364" max="4365" width="12.42578125" style="135" customWidth="1"/>
    <col min="4366" max="4366" width="11.28515625" style="135" customWidth="1"/>
    <col min="4367" max="4608" width="9" style="135"/>
    <col min="4609" max="4609" width="5.7109375" style="135" customWidth="1"/>
    <col min="4610" max="4610" width="4.7109375" style="135" customWidth="1"/>
    <col min="4611" max="4611" width="10.42578125" style="135" customWidth="1"/>
    <col min="4612" max="4612" width="10.7109375" style="135" customWidth="1"/>
    <col min="4613" max="4613" width="9" style="135"/>
    <col min="4614" max="4614" width="20.42578125" style="135" customWidth="1"/>
    <col min="4615" max="4615" width="9" style="135" customWidth="1"/>
    <col min="4616" max="4616" width="6.42578125" style="135" customWidth="1"/>
    <col min="4617" max="4617" width="16.28515625" style="135" customWidth="1"/>
    <col min="4618" max="4618" width="4.7109375" style="135" customWidth="1"/>
    <col min="4619" max="4619" width="16.28515625" style="135" customWidth="1"/>
    <col min="4620" max="4621" width="12.42578125" style="135" customWidth="1"/>
    <col min="4622" max="4622" width="11.28515625" style="135" customWidth="1"/>
    <col min="4623" max="4864" width="9" style="135"/>
    <col min="4865" max="4865" width="5.7109375" style="135" customWidth="1"/>
    <col min="4866" max="4866" width="4.7109375" style="135" customWidth="1"/>
    <col min="4867" max="4867" width="10.42578125" style="135" customWidth="1"/>
    <col min="4868" max="4868" width="10.7109375" style="135" customWidth="1"/>
    <col min="4869" max="4869" width="9" style="135"/>
    <col min="4870" max="4870" width="20.42578125" style="135" customWidth="1"/>
    <col min="4871" max="4871" width="9" style="135" customWidth="1"/>
    <col min="4872" max="4872" width="6.42578125" style="135" customWidth="1"/>
    <col min="4873" max="4873" width="16.28515625" style="135" customWidth="1"/>
    <col min="4874" max="4874" width="4.7109375" style="135" customWidth="1"/>
    <col min="4875" max="4875" width="16.28515625" style="135" customWidth="1"/>
    <col min="4876" max="4877" width="12.42578125" style="135" customWidth="1"/>
    <col min="4878" max="4878" width="11.28515625" style="135" customWidth="1"/>
    <col min="4879" max="5120" width="9" style="135"/>
    <col min="5121" max="5121" width="5.7109375" style="135" customWidth="1"/>
    <col min="5122" max="5122" width="4.7109375" style="135" customWidth="1"/>
    <col min="5123" max="5123" width="10.42578125" style="135" customWidth="1"/>
    <col min="5124" max="5124" width="10.7109375" style="135" customWidth="1"/>
    <col min="5125" max="5125" width="9" style="135"/>
    <col min="5126" max="5126" width="20.42578125" style="135" customWidth="1"/>
    <col min="5127" max="5127" width="9" style="135" customWidth="1"/>
    <col min="5128" max="5128" width="6.42578125" style="135" customWidth="1"/>
    <col min="5129" max="5129" width="16.28515625" style="135" customWidth="1"/>
    <col min="5130" max="5130" width="4.7109375" style="135" customWidth="1"/>
    <col min="5131" max="5131" width="16.28515625" style="135" customWidth="1"/>
    <col min="5132" max="5133" width="12.42578125" style="135" customWidth="1"/>
    <col min="5134" max="5134" width="11.28515625" style="135" customWidth="1"/>
    <col min="5135" max="5376" width="9" style="135"/>
    <col min="5377" max="5377" width="5.7109375" style="135" customWidth="1"/>
    <col min="5378" max="5378" width="4.7109375" style="135" customWidth="1"/>
    <col min="5379" max="5379" width="10.42578125" style="135" customWidth="1"/>
    <col min="5380" max="5380" width="10.7109375" style="135" customWidth="1"/>
    <col min="5381" max="5381" width="9" style="135"/>
    <col min="5382" max="5382" width="20.42578125" style="135" customWidth="1"/>
    <col min="5383" max="5383" width="9" style="135" customWidth="1"/>
    <col min="5384" max="5384" width="6.42578125" style="135" customWidth="1"/>
    <col min="5385" max="5385" width="16.28515625" style="135" customWidth="1"/>
    <col min="5386" max="5386" width="4.7109375" style="135" customWidth="1"/>
    <col min="5387" max="5387" width="16.28515625" style="135" customWidth="1"/>
    <col min="5388" max="5389" width="12.42578125" style="135" customWidth="1"/>
    <col min="5390" max="5390" width="11.28515625" style="135" customWidth="1"/>
    <col min="5391" max="5632" width="9" style="135"/>
    <col min="5633" max="5633" width="5.7109375" style="135" customWidth="1"/>
    <col min="5634" max="5634" width="4.7109375" style="135" customWidth="1"/>
    <col min="5635" max="5635" width="10.42578125" style="135" customWidth="1"/>
    <col min="5636" max="5636" width="10.7109375" style="135" customWidth="1"/>
    <col min="5637" max="5637" width="9" style="135"/>
    <col min="5638" max="5638" width="20.42578125" style="135" customWidth="1"/>
    <col min="5639" max="5639" width="9" style="135" customWidth="1"/>
    <col min="5640" max="5640" width="6.42578125" style="135" customWidth="1"/>
    <col min="5641" max="5641" width="16.28515625" style="135" customWidth="1"/>
    <col min="5642" max="5642" width="4.7109375" style="135" customWidth="1"/>
    <col min="5643" max="5643" width="16.28515625" style="135" customWidth="1"/>
    <col min="5644" max="5645" width="12.42578125" style="135" customWidth="1"/>
    <col min="5646" max="5646" width="11.28515625" style="135" customWidth="1"/>
    <col min="5647" max="5888" width="9" style="135"/>
    <col min="5889" max="5889" width="5.7109375" style="135" customWidth="1"/>
    <col min="5890" max="5890" width="4.7109375" style="135" customWidth="1"/>
    <col min="5891" max="5891" width="10.42578125" style="135" customWidth="1"/>
    <col min="5892" max="5892" width="10.7109375" style="135" customWidth="1"/>
    <col min="5893" max="5893" width="9" style="135"/>
    <col min="5894" max="5894" width="20.42578125" style="135" customWidth="1"/>
    <col min="5895" max="5895" width="9" style="135" customWidth="1"/>
    <col min="5896" max="5896" width="6.42578125" style="135" customWidth="1"/>
    <col min="5897" max="5897" width="16.28515625" style="135" customWidth="1"/>
    <col min="5898" max="5898" width="4.7109375" style="135" customWidth="1"/>
    <col min="5899" max="5899" width="16.28515625" style="135" customWidth="1"/>
    <col min="5900" max="5901" width="12.42578125" style="135" customWidth="1"/>
    <col min="5902" max="5902" width="11.28515625" style="135" customWidth="1"/>
    <col min="5903" max="6144" width="9" style="135"/>
    <col min="6145" max="6145" width="5.7109375" style="135" customWidth="1"/>
    <col min="6146" max="6146" width="4.7109375" style="135" customWidth="1"/>
    <col min="6147" max="6147" width="10.42578125" style="135" customWidth="1"/>
    <col min="6148" max="6148" width="10.7109375" style="135" customWidth="1"/>
    <col min="6149" max="6149" width="9" style="135"/>
    <col min="6150" max="6150" width="20.42578125" style="135" customWidth="1"/>
    <col min="6151" max="6151" width="9" style="135" customWidth="1"/>
    <col min="6152" max="6152" width="6.42578125" style="135" customWidth="1"/>
    <col min="6153" max="6153" width="16.28515625" style="135" customWidth="1"/>
    <col min="6154" max="6154" width="4.7109375" style="135" customWidth="1"/>
    <col min="6155" max="6155" width="16.28515625" style="135" customWidth="1"/>
    <col min="6156" max="6157" width="12.42578125" style="135" customWidth="1"/>
    <col min="6158" max="6158" width="11.28515625" style="135" customWidth="1"/>
    <col min="6159" max="6400" width="9" style="135"/>
    <col min="6401" max="6401" width="5.7109375" style="135" customWidth="1"/>
    <col min="6402" max="6402" width="4.7109375" style="135" customWidth="1"/>
    <col min="6403" max="6403" width="10.42578125" style="135" customWidth="1"/>
    <col min="6404" max="6404" width="10.7109375" style="135" customWidth="1"/>
    <col min="6405" max="6405" width="9" style="135"/>
    <col min="6406" max="6406" width="20.42578125" style="135" customWidth="1"/>
    <col min="6407" max="6407" width="9" style="135" customWidth="1"/>
    <col min="6408" max="6408" width="6.42578125" style="135" customWidth="1"/>
    <col min="6409" max="6409" width="16.28515625" style="135" customWidth="1"/>
    <col min="6410" max="6410" width="4.7109375" style="135" customWidth="1"/>
    <col min="6411" max="6411" width="16.28515625" style="135" customWidth="1"/>
    <col min="6412" max="6413" width="12.42578125" style="135" customWidth="1"/>
    <col min="6414" max="6414" width="11.28515625" style="135" customWidth="1"/>
    <col min="6415" max="6656" width="9" style="135"/>
    <col min="6657" max="6657" width="5.7109375" style="135" customWidth="1"/>
    <col min="6658" max="6658" width="4.7109375" style="135" customWidth="1"/>
    <col min="6659" max="6659" width="10.42578125" style="135" customWidth="1"/>
    <col min="6660" max="6660" width="10.7109375" style="135" customWidth="1"/>
    <col min="6661" max="6661" width="9" style="135"/>
    <col min="6662" max="6662" width="20.42578125" style="135" customWidth="1"/>
    <col min="6663" max="6663" width="9" style="135" customWidth="1"/>
    <col min="6664" max="6664" width="6.42578125" style="135" customWidth="1"/>
    <col min="6665" max="6665" width="16.28515625" style="135" customWidth="1"/>
    <col min="6666" max="6666" width="4.7109375" style="135" customWidth="1"/>
    <col min="6667" max="6667" width="16.28515625" style="135" customWidth="1"/>
    <col min="6668" max="6669" width="12.42578125" style="135" customWidth="1"/>
    <col min="6670" max="6670" width="11.28515625" style="135" customWidth="1"/>
    <col min="6671" max="6912" width="9" style="135"/>
    <col min="6913" max="6913" width="5.7109375" style="135" customWidth="1"/>
    <col min="6914" max="6914" width="4.7109375" style="135" customWidth="1"/>
    <col min="6915" max="6915" width="10.42578125" style="135" customWidth="1"/>
    <col min="6916" max="6916" width="10.7109375" style="135" customWidth="1"/>
    <col min="6917" max="6917" width="9" style="135"/>
    <col min="6918" max="6918" width="20.42578125" style="135" customWidth="1"/>
    <col min="6919" max="6919" width="9" style="135" customWidth="1"/>
    <col min="6920" max="6920" width="6.42578125" style="135" customWidth="1"/>
    <col min="6921" max="6921" width="16.28515625" style="135" customWidth="1"/>
    <col min="6922" max="6922" width="4.7109375" style="135" customWidth="1"/>
    <col min="6923" max="6923" width="16.28515625" style="135" customWidth="1"/>
    <col min="6924" max="6925" width="12.42578125" style="135" customWidth="1"/>
    <col min="6926" max="6926" width="11.28515625" style="135" customWidth="1"/>
    <col min="6927" max="7168" width="9" style="135"/>
    <col min="7169" max="7169" width="5.7109375" style="135" customWidth="1"/>
    <col min="7170" max="7170" width="4.7109375" style="135" customWidth="1"/>
    <col min="7171" max="7171" width="10.42578125" style="135" customWidth="1"/>
    <col min="7172" max="7172" width="10.7109375" style="135" customWidth="1"/>
    <col min="7173" max="7173" width="9" style="135"/>
    <col min="7174" max="7174" width="20.42578125" style="135" customWidth="1"/>
    <col min="7175" max="7175" width="9" style="135" customWidth="1"/>
    <col min="7176" max="7176" width="6.42578125" style="135" customWidth="1"/>
    <col min="7177" max="7177" width="16.28515625" style="135" customWidth="1"/>
    <col min="7178" max="7178" width="4.7109375" style="135" customWidth="1"/>
    <col min="7179" max="7179" width="16.28515625" style="135" customWidth="1"/>
    <col min="7180" max="7181" width="12.42578125" style="135" customWidth="1"/>
    <col min="7182" max="7182" width="11.28515625" style="135" customWidth="1"/>
    <col min="7183" max="7424" width="9" style="135"/>
    <col min="7425" max="7425" width="5.7109375" style="135" customWidth="1"/>
    <col min="7426" max="7426" width="4.7109375" style="135" customWidth="1"/>
    <col min="7427" max="7427" width="10.42578125" style="135" customWidth="1"/>
    <col min="7428" max="7428" width="10.7109375" style="135" customWidth="1"/>
    <col min="7429" max="7429" width="9" style="135"/>
    <col min="7430" max="7430" width="20.42578125" style="135" customWidth="1"/>
    <col min="7431" max="7431" width="9" style="135" customWidth="1"/>
    <col min="7432" max="7432" width="6.42578125" style="135" customWidth="1"/>
    <col min="7433" max="7433" width="16.28515625" style="135" customWidth="1"/>
    <col min="7434" max="7434" width="4.7109375" style="135" customWidth="1"/>
    <col min="7435" max="7435" width="16.28515625" style="135" customWidth="1"/>
    <col min="7436" max="7437" width="12.42578125" style="135" customWidth="1"/>
    <col min="7438" max="7438" width="11.28515625" style="135" customWidth="1"/>
    <col min="7439" max="7680" width="9" style="135"/>
    <col min="7681" max="7681" width="5.7109375" style="135" customWidth="1"/>
    <col min="7682" max="7682" width="4.7109375" style="135" customWidth="1"/>
    <col min="7683" max="7683" width="10.42578125" style="135" customWidth="1"/>
    <col min="7684" max="7684" width="10.7109375" style="135" customWidth="1"/>
    <col min="7685" max="7685" width="9" style="135"/>
    <col min="7686" max="7686" width="20.42578125" style="135" customWidth="1"/>
    <col min="7687" max="7687" width="9" style="135" customWidth="1"/>
    <col min="7688" max="7688" width="6.42578125" style="135" customWidth="1"/>
    <col min="7689" max="7689" width="16.28515625" style="135" customWidth="1"/>
    <col min="7690" max="7690" width="4.7109375" style="135" customWidth="1"/>
    <col min="7691" max="7691" width="16.28515625" style="135" customWidth="1"/>
    <col min="7692" max="7693" width="12.42578125" style="135" customWidth="1"/>
    <col min="7694" max="7694" width="11.28515625" style="135" customWidth="1"/>
    <col min="7695" max="7936" width="9" style="135"/>
    <col min="7937" max="7937" width="5.7109375" style="135" customWidth="1"/>
    <col min="7938" max="7938" width="4.7109375" style="135" customWidth="1"/>
    <col min="7939" max="7939" width="10.42578125" style="135" customWidth="1"/>
    <col min="7940" max="7940" width="10.7109375" style="135" customWidth="1"/>
    <col min="7941" max="7941" width="9" style="135"/>
    <col min="7942" max="7942" width="20.42578125" style="135" customWidth="1"/>
    <col min="7943" max="7943" width="9" style="135" customWidth="1"/>
    <col min="7944" max="7944" width="6.42578125" style="135" customWidth="1"/>
    <col min="7945" max="7945" width="16.28515625" style="135" customWidth="1"/>
    <col min="7946" max="7946" width="4.7109375" style="135" customWidth="1"/>
    <col min="7947" max="7947" width="16.28515625" style="135" customWidth="1"/>
    <col min="7948" max="7949" width="12.42578125" style="135" customWidth="1"/>
    <col min="7950" max="7950" width="11.28515625" style="135" customWidth="1"/>
    <col min="7951" max="8192" width="9" style="135"/>
    <col min="8193" max="8193" width="5.7109375" style="135" customWidth="1"/>
    <col min="8194" max="8194" width="4.7109375" style="135" customWidth="1"/>
    <col min="8195" max="8195" width="10.42578125" style="135" customWidth="1"/>
    <col min="8196" max="8196" width="10.7109375" style="135" customWidth="1"/>
    <col min="8197" max="8197" width="9" style="135"/>
    <col min="8198" max="8198" width="20.42578125" style="135" customWidth="1"/>
    <col min="8199" max="8199" width="9" style="135" customWidth="1"/>
    <col min="8200" max="8200" width="6.42578125" style="135" customWidth="1"/>
    <col min="8201" max="8201" width="16.28515625" style="135" customWidth="1"/>
    <col min="8202" max="8202" width="4.7109375" style="135" customWidth="1"/>
    <col min="8203" max="8203" width="16.28515625" style="135" customWidth="1"/>
    <col min="8204" max="8205" width="12.42578125" style="135" customWidth="1"/>
    <col min="8206" max="8206" width="11.28515625" style="135" customWidth="1"/>
    <col min="8207" max="8448" width="9" style="135"/>
    <col min="8449" max="8449" width="5.7109375" style="135" customWidth="1"/>
    <col min="8450" max="8450" width="4.7109375" style="135" customWidth="1"/>
    <col min="8451" max="8451" width="10.42578125" style="135" customWidth="1"/>
    <col min="8452" max="8452" width="10.7109375" style="135" customWidth="1"/>
    <col min="8453" max="8453" width="9" style="135"/>
    <col min="8454" max="8454" width="20.42578125" style="135" customWidth="1"/>
    <col min="8455" max="8455" width="9" style="135" customWidth="1"/>
    <col min="8456" max="8456" width="6.42578125" style="135" customWidth="1"/>
    <col min="8457" max="8457" width="16.28515625" style="135" customWidth="1"/>
    <col min="8458" max="8458" width="4.7109375" style="135" customWidth="1"/>
    <col min="8459" max="8459" width="16.28515625" style="135" customWidth="1"/>
    <col min="8460" max="8461" width="12.42578125" style="135" customWidth="1"/>
    <col min="8462" max="8462" width="11.28515625" style="135" customWidth="1"/>
    <col min="8463" max="8704" width="9" style="135"/>
    <col min="8705" max="8705" width="5.7109375" style="135" customWidth="1"/>
    <col min="8706" max="8706" width="4.7109375" style="135" customWidth="1"/>
    <col min="8707" max="8707" width="10.42578125" style="135" customWidth="1"/>
    <col min="8708" max="8708" width="10.7109375" style="135" customWidth="1"/>
    <col min="8709" max="8709" width="9" style="135"/>
    <col min="8710" max="8710" width="20.42578125" style="135" customWidth="1"/>
    <col min="8711" max="8711" width="9" style="135" customWidth="1"/>
    <col min="8712" max="8712" width="6.42578125" style="135" customWidth="1"/>
    <col min="8713" max="8713" width="16.28515625" style="135" customWidth="1"/>
    <col min="8714" max="8714" width="4.7109375" style="135" customWidth="1"/>
    <col min="8715" max="8715" width="16.28515625" style="135" customWidth="1"/>
    <col min="8716" max="8717" width="12.42578125" style="135" customWidth="1"/>
    <col min="8718" max="8718" width="11.28515625" style="135" customWidth="1"/>
    <col min="8719" max="8960" width="9" style="135"/>
    <col min="8961" max="8961" width="5.7109375" style="135" customWidth="1"/>
    <col min="8962" max="8962" width="4.7109375" style="135" customWidth="1"/>
    <col min="8963" max="8963" width="10.42578125" style="135" customWidth="1"/>
    <col min="8964" max="8964" width="10.7109375" style="135" customWidth="1"/>
    <col min="8965" max="8965" width="9" style="135"/>
    <col min="8966" max="8966" width="20.42578125" style="135" customWidth="1"/>
    <col min="8967" max="8967" width="9" style="135" customWidth="1"/>
    <col min="8968" max="8968" width="6.42578125" style="135" customWidth="1"/>
    <col min="8969" max="8969" width="16.28515625" style="135" customWidth="1"/>
    <col min="8970" max="8970" width="4.7109375" style="135" customWidth="1"/>
    <col min="8971" max="8971" width="16.28515625" style="135" customWidth="1"/>
    <col min="8972" max="8973" width="12.42578125" style="135" customWidth="1"/>
    <col min="8974" max="8974" width="11.28515625" style="135" customWidth="1"/>
    <col min="8975" max="9216" width="9" style="135"/>
    <col min="9217" max="9217" width="5.7109375" style="135" customWidth="1"/>
    <col min="9218" max="9218" width="4.7109375" style="135" customWidth="1"/>
    <col min="9219" max="9219" width="10.42578125" style="135" customWidth="1"/>
    <col min="9220" max="9220" width="10.7109375" style="135" customWidth="1"/>
    <col min="9221" max="9221" width="9" style="135"/>
    <col min="9222" max="9222" width="20.42578125" style="135" customWidth="1"/>
    <col min="9223" max="9223" width="9" style="135" customWidth="1"/>
    <col min="9224" max="9224" width="6.42578125" style="135" customWidth="1"/>
    <col min="9225" max="9225" width="16.28515625" style="135" customWidth="1"/>
    <col min="9226" max="9226" width="4.7109375" style="135" customWidth="1"/>
    <col min="9227" max="9227" width="16.28515625" style="135" customWidth="1"/>
    <col min="9228" max="9229" width="12.42578125" style="135" customWidth="1"/>
    <col min="9230" max="9230" width="11.28515625" style="135" customWidth="1"/>
    <col min="9231" max="9472" width="9" style="135"/>
    <col min="9473" max="9473" width="5.7109375" style="135" customWidth="1"/>
    <col min="9474" max="9474" width="4.7109375" style="135" customWidth="1"/>
    <col min="9475" max="9475" width="10.42578125" style="135" customWidth="1"/>
    <col min="9476" max="9476" width="10.7109375" style="135" customWidth="1"/>
    <col min="9477" max="9477" width="9" style="135"/>
    <col min="9478" max="9478" width="20.42578125" style="135" customWidth="1"/>
    <col min="9479" max="9479" width="9" style="135" customWidth="1"/>
    <col min="9480" max="9480" width="6.42578125" style="135" customWidth="1"/>
    <col min="9481" max="9481" width="16.28515625" style="135" customWidth="1"/>
    <col min="9482" max="9482" width="4.7109375" style="135" customWidth="1"/>
    <col min="9483" max="9483" width="16.28515625" style="135" customWidth="1"/>
    <col min="9484" max="9485" width="12.42578125" style="135" customWidth="1"/>
    <col min="9486" max="9486" width="11.28515625" style="135" customWidth="1"/>
    <col min="9487" max="9728" width="9" style="135"/>
    <col min="9729" max="9729" width="5.7109375" style="135" customWidth="1"/>
    <col min="9730" max="9730" width="4.7109375" style="135" customWidth="1"/>
    <col min="9731" max="9731" width="10.42578125" style="135" customWidth="1"/>
    <col min="9732" max="9732" width="10.7109375" style="135" customWidth="1"/>
    <col min="9733" max="9733" width="9" style="135"/>
    <col min="9734" max="9734" width="20.42578125" style="135" customWidth="1"/>
    <col min="9735" max="9735" width="9" style="135" customWidth="1"/>
    <col min="9736" max="9736" width="6.42578125" style="135" customWidth="1"/>
    <col min="9737" max="9737" width="16.28515625" style="135" customWidth="1"/>
    <col min="9738" max="9738" width="4.7109375" style="135" customWidth="1"/>
    <col min="9739" max="9739" width="16.28515625" style="135" customWidth="1"/>
    <col min="9740" max="9741" width="12.42578125" style="135" customWidth="1"/>
    <col min="9742" max="9742" width="11.28515625" style="135" customWidth="1"/>
    <col min="9743" max="9984" width="9" style="135"/>
    <col min="9985" max="9985" width="5.7109375" style="135" customWidth="1"/>
    <col min="9986" max="9986" width="4.7109375" style="135" customWidth="1"/>
    <col min="9987" max="9987" width="10.42578125" style="135" customWidth="1"/>
    <col min="9988" max="9988" width="10.7109375" style="135" customWidth="1"/>
    <col min="9989" max="9989" width="9" style="135"/>
    <col min="9990" max="9990" width="20.42578125" style="135" customWidth="1"/>
    <col min="9991" max="9991" width="9" style="135" customWidth="1"/>
    <col min="9992" max="9992" width="6.42578125" style="135" customWidth="1"/>
    <col min="9993" max="9993" width="16.28515625" style="135" customWidth="1"/>
    <col min="9994" max="9994" width="4.7109375" style="135" customWidth="1"/>
    <col min="9995" max="9995" width="16.28515625" style="135" customWidth="1"/>
    <col min="9996" max="9997" width="12.42578125" style="135" customWidth="1"/>
    <col min="9998" max="9998" width="11.28515625" style="135" customWidth="1"/>
    <col min="9999" max="10240" width="9" style="135"/>
    <col min="10241" max="10241" width="5.7109375" style="135" customWidth="1"/>
    <col min="10242" max="10242" width="4.7109375" style="135" customWidth="1"/>
    <col min="10243" max="10243" width="10.42578125" style="135" customWidth="1"/>
    <col min="10244" max="10244" width="10.7109375" style="135" customWidth="1"/>
    <col min="10245" max="10245" width="9" style="135"/>
    <col min="10246" max="10246" width="20.42578125" style="135" customWidth="1"/>
    <col min="10247" max="10247" width="9" style="135" customWidth="1"/>
    <col min="10248" max="10248" width="6.42578125" style="135" customWidth="1"/>
    <col min="10249" max="10249" width="16.28515625" style="135" customWidth="1"/>
    <col min="10250" max="10250" width="4.7109375" style="135" customWidth="1"/>
    <col min="10251" max="10251" width="16.28515625" style="135" customWidth="1"/>
    <col min="10252" max="10253" width="12.42578125" style="135" customWidth="1"/>
    <col min="10254" max="10254" width="11.28515625" style="135" customWidth="1"/>
    <col min="10255" max="10496" width="9" style="135"/>
    <col min="10497" max="10497" width="5.7109375" style="135" customWidth="1"/>
    <col min="10498" max="10498" width="4.7109375" style="135" customWidth="1"/>
    <col min="10499" max="10499" width="10.42578125" style="135" customWidth="1"/>
    <col min="10500" max="10500" width="10.7109375" style="135" customWidth="1"/>
    <col min="10501" max="10501" width="9" style="135"/>
    <col min="10502" max="10502" width="20.42578125" style="135" customWidth="1"/>
    <col min="10503" max="10503" width="9" style="135" customWidth="1"/>
    <col min="10504" max="10504" width="6.42578125" style="135" customWidth="1"/>
    <col min="10505" max="10505" width="16.28515625" style="135" customWidth="1"/>
    <col min="10506" max="10506" width="4.7109375" style="135" customWidth="1"/>
    <col min="10507" max="10507" width="16.28515625" style="135" customWidth="1"/>
    <col min="10508" max="10509" width="12.42578125" style="135" customWidth="1"/>
    <col min="10510" max="10510" width="11.28515625" style="135" customWidth="1"/>
    <col min="10511" max="10752" width="9" style="135"/>
    <col min="10753" max="10753" width="5.7109375" style="135" customWidth="1"/>
    <col min="10754" max="10754" width="4.7109375" style="135" customWidth="1"/>
    <col min="10755" max="10755" width="10.42578125" style="135" customWidth="1"/>
    <col min="10756" max="10756" width="10.7109375" style="135" customWidth="1"/>
    <col min="10757" max="10757" width="9" style="135"/>
    <col min="10758" max="10758" width="20.42578125" style="135" customWidth="1"/>
    <col min="10759" max="10759" width="9" style="135" customWidth="1"/>
    <col min="10760" max="10760" width="6.42578125" style="135" customWidth="1"/>
    <col min="10761" max="10761" width="16.28515625" style="135" customWidth="1"/>
    <col min="10762" max="10762" width="4.7109375" style="135" customWidth="1"/>
    <col min="10763" max="10763" width="16.28515625" style="135" customWidth="1"/>
    <col min="10764" max="10765" width="12.42578125" style="135" customWidth="1"/>
    <col min="10766" max="10766" width="11.28515625" style="135" customWidth="1"/>
    <col min="10767" max="11008" width="9" style="135"/>
    <col min="11009" max="11009" width="5.7109375" style="135" customWidth="1"/>
    <col min="11010" max="11010" width="4.7109375" style="135" customWidth="1"/>
    <col min="11011" max="11011" width="10.42578125" style="135" customWidth="1"/>
    <col min="11012" max="11012" width="10.7109375" style="135" customWidth="1"/>
    <col min="11013" max="11013" width="9" style="135"/>
    <col min="11014" max="11014" width="20.42578125" style="135" customWidth="1"/>
    <col min="11015" max="11015" width="9" style="135" customWidth="1"/>
    <col min="11016" max="11016" width="6.42578125" style="135" customWidth="1"/>
    <col min="11017" max="11017" width="16.28515625" style="135" customWidth="1"/>
    <col min="11018" max="11018" width="4.7109375" style="135" customWidth="1"/>
    <col min="11019" max="11019" width="16.28515625" style="135" customWidth="1"/>
    <col min="11020" max="11021" width="12.42578125" style="135" customWidth="1"/>
    <col min="11022" max="11022" width="11.28515625" style="135" customWidth="1"/>
    <col min="11023" max="11264" width="9" style="135"/>
    <col min="11265" max="11265" width="5.7109375" style="135" customWidth="1"/>
    <col min="11266" max="11266" width="4.7109375" style="135" customWidth="1"/>
    <col min="11267" max="11267" width="10.42578125" style="135" customWidth="1"/>
    <col min="11268" max="11268" width="10.7109375" style="135" customWidth="1"/>
    <col min="11269" max="11269" width="9" style="135"/>
    <col min="11270" max="11270" width="20.42578125" style="135" customWidth="1"/>
    <col min="11271" max="11271" width="9" style="135" customWidth="1"/>
    <col min="11272" max="11272" width="6.42578125" style="135" customWidth="1"/>
    <col min="11273" max="11273" width="16.28515625" style="135" customWidth="1"/>
    <col min="11274" max="11274" width="4.7109375" style="135" customWidth="1"/>
    <col min="11275" max="11275" width="16.28515625" style="135" customWidth="1"/>
    <col min="11276" max="11277" width="12.42578125" style="135" customWidth="1"/>
    <col min="11278" max="11278" width="11.28515625" style="135" customWidth="1"/>
    <col min="11279" max="11520" width="9" style="135"/>
    <col min="11521" max="11521" width="5.7109375" style="135" customWidth="1"/>
    <col min="11522" max="11522" width="4.7109375" style="135" customWidth="1"/>
    <col min="11523" max="11523" width="10.42578125" style="135" customWidth="1"/>
    <col min="11524" max="11524" width="10.7109375" style="135" customWidth="1"/>
    <col min="11525" max="11525" width="9" style="135"/>
    <col min="11526" max="11526" width="20.42578125" style="135" customWidth="1"/>
    <col min="11527" max="11527" width="9" style="135" customWidth="1"/>
    <col min="11528" max="11528" width="6.42578125" style="135" customWidth="1"/>
    <col min="11529" max="11529" width="16.28515625" style="135" customWidth="1"/>
    <col min="11530" max="11530" width="4.7109375" style="135" customWidth="1"/>
    <col min="11531" max="11531" width="16.28515625" style="135" customWidth="1"/>
    <col min="11532" max="11533" width="12.42578125" style="135" customWidth="1"/>
    <col min="11534" max="11534" width="11.28515625" style="135" customWidth="1"/>
    <col min="11535" max="11776" width="9" style="135"/>
    <col min="11777" max="11777" width="5.7109375" style="135" customWidth="1"/>
    <col min="11778" max="11778" width="4.7109375" style="135" customWidth="1"/>
    <col min="11779" max="11779" width="10.42578125" style="135" customWidth="1"/>
    <col min="11780" max="11780" width="10.7109375" style="135" customWidth="1"/>
    <col min="11781" max="11781" width="9" style="135"/>
    <col min="11782" max="11782" width="20.42578125" style="135" customWidth="1"/>
    <col min="11783" max="11783" width="9" style="135" customWidth="1"/>
    <col min="11784" max="11784" width="6.42578125" style="135" customWidth="1"/>
    <col min="11785" max="11785" width="16.28515625" style="135" customWidth="1"/>
    <col min="11786" max="11786" width="4.7109375" style="135" customWidth="1"/>
    <col min="11787" max="11787" width="16.28515625" style="135" customWidth="1"/>
    <col min="11788" max="11789" width="12.42578125" style="135" customWidth="1"/>
    <col min="11790" max="11790" width="11.28515625" style="135" customWidth="1"/>
    <col min="11791" max="12032" width="9" style="135"/>
    <col min="12033" max="12033" width="5.7109375" style="135" customWidth="1"/>
    <col min="12034" max="12034" width="4.7109375" style="135" customWidth="1"/>
    <col min="12035" max="12035" width="10.42578125" style="135" customWidth="1"/>
    <col min="12036" max="12036" width="10.7109375" style="135" customWidth="1"/>
    <col min="12037" max="12037" width="9" style="135"/>
    <col min="12038" max="12038" width="20.42578125" style="135" customWidth="1"/>
    <col min="12039" max="12039" width="9" style="135" customWidth="1"/>
    <col min="12040" max="12040" width="6.42578125" style="135" customWidth="1"/>
    <col min="12041" max="12041" width="16.28515625" style="135" customWidth="1"/>
    <col min="12042" max="12042" width="4.7109375" style="135" customWidth="1"/>
    <col min="12043" max="12043" width="16.28515625" style="135" customWidth="1"/>
    <col min="12044" max="12045" width="12.42578125" style="135" customWidth="1"/>
    <col min="12046" max="12046" width="11.28515625" style="135" customWidth="1"/>
    <col min="12047" max="12288" width="9" style="135"/>
    <col min="12289" max="12289" width="5.7109375" style="135" customWidth="1"/>
    <col min="12290" max="12290" width="4.7109375" style="135" customWidth="1"/>
    <col min="12291" max="12291" width="10.42578125" style="135" customWidth="1"/>
    <col min="12292" max="12292" width="10.7109375" style="135" customWidth="1"/>
    <col min="12293" max="12293" width="9" style="135"/>
    <col min="12294" max="12294" width="20.42578125" style="135" customWidth="1"/>
    <col min="12295" max="12295" width="9" style="135" customWidth="1"/>
    <col min="12296" max="12296" width="6.42578125" style="135" customWidth="1"/>
    <col min="12297" max="12297" width="16.28515625" style="135" customWidth="1"/>
    <col min="12298" max="12298" width="4.7109375" style="135" customWidth="1"/>
    <col min="12299" max="12299" width="16.28515625" style="135" customWidth="1"/>
    <col min="12300" max="12301" width="12.42578125" style="135" customWidth="1"/>
    <col min="12302" max="12302" width="11.28515625" style="135" customWidth="1"/>
    <col min="12303" max="12544" width="9" style="135"/>
    <col min="12545" max="12545" width="5.7109375" style="135" customWidth="1"/>
    <col min="12546" max="12546" width="4.7109375" style="135" customWidth="1"/>
    <col min="12547" max="12547" width="10.42578125" style="135" customWidth="1"/>
    <col min="12548" max="12548" width="10.7109375" style="135" customWidth="1"/>
    <col min="12549" max="12549" width="9" style="135"/>
    <col min="12550" max="12550" width="20.42578125" style="135" customWidth="1"/>
    <col min="12551" max="12551" width="9" style="135" customWidth="1"/>
    <col min="12552" max="12552" width="6.42578125" style="135" customWidth="1"/>
    <col min="12553" max="12553" width="16.28515625" style="135" customWidth="1"/>
    <col min="12554" max="12554" width="4.7109375" style="135" customWidth="1"/>
    <col min="12555" max="12555" width="16.28515625" style="135" customWidth="1"/>
    <col min="12556" max="12557" width="12.42578125" style="135" customWidth="1"/>
    <col min="12558" max="12558" width="11.28515625" style="135" customWidth="1"/>
    <col min="12559" max="12800" width="9" style="135"/>
    <col min="12801" max="12801" width="5.7109375" style="135" customWidth="1"/>
    <col min="12802" max="12802" width="4.7109375" style="135" customWidth="1"/>
    <col min="12803" max="12803" width="10.42578125" style="135" customWidth="1"/>
    <col min="12804" max="12804" width="10.7109375" style="135" customWidth="1"/>
    <col min="12805" max="12805" width="9" style="135"/>
    <col min="12806" max="12806" width="20.42578125" style="135" customWidth="1"/>
    <col min="12807" max="12807" width="9" style="135" customWidth="1"/>
    <col min="12808" max="12808" width="6.42578125" style="135" customWidth="1"/>
    <col min="12809" max="12809" width="16.28515625" style="135" customWidth="1"/>
    <col min="12810" max="12810" width="4.7109375" style="135" customWidth="1"/>
    <col min="12811" max="12811" width="16.28515625" style="135" customWidth="1"/>
    <col min="12812" max="12813" width="12.42578125" style="135" customWidth="1"/>
    <col min="12814" max="12814" width="11.28515625" style="135" customWidth="1"/>
    <col min="12815" max="13056" width="9" style="135"/>
    <col min="13057" max="13057" width="5.7109375" style="135" customWidth="1"/>
    <col min="13058" max="13058" width="4.7109375" style="135" customWidth="1"/>
    <col min="13059" max="13059" width="10.42578125" style="135" customWidth="1"/>
    <col min="13060" max="13060" width="10.7109375" style="135" customWidth="1"/>
    <col min="13061" max="13061" width="9" style="135"/>
    <col min="13062" max="13062" width="20.42578125" style="135" customWidth="1"/>
    <col min="13063" max="13063" width="9" style="135" customWidth="1"/>
    <col min="13064" max="13064" width="6.42578125" style="135" customWidth="1"/>
    <col min="13065" max="13065" width="16.28515625" style="135" customWidth="1"/>
    <col min="13066" max="13066" width="4.7109375" style="135" customWidth="1"/>
    <col min="13067" max="13067" width="16.28515625" style="135" customWidth="1"/>
    <col min="13068" max="13069" width="12.42578125" style="135" customWidth="1"/>
    <col min="13070" max="13070" width="11.28515625" style="135" customWidth="1"/>
    <col min="13071" max="13312" width="9" style="135"/>
    <col min="13313" max="13313" width="5.7109375" style="135" customWidth="1"/>
    <col min="13314" max="13314" width="4.7109375" style="135" customWidth="1"/>
    <col min="13315" max="13315" width="10.42578125" style="135" customWidth="1"/>
    <col min="13316" max="13316" width="10.7109375" style="135" customWidth="1"/>
    <col min="13317" max="13317" width="9" style="135"/>
    <col min="13318" max="13318" width="20.42578125" style="135" customWidth="1"/>
    <col min="13319" max="13319" width="9" style="135" customWidth="1"/>
    <col min="13320" max="13320" width="6.42578125" style="135" customWidth="1"/>
    <col min="13321" max="13321" width="16.28515625" style="135" customWidth="1"/>
    <col min="13322" max="13322" width="4.7109375" style="135" customWidth="1"/>
    <col min="13323" max="13323" width="16.28515625" style="135" customWidth="1"/>
    <col min="13324" max="13325" width="12.42578125" style="135" customWidth="1"/>
    <col min="13326" max="13326" width="11.28515625" style="135" customWidth="1"/>
    <col min="13327" max="13568" width="9" style="135"/>
    <col min="13569" max="13569" width="5.7109375" style="135" customWidth="1"/>
    <col min="13570" max="13570" width="4.7109375" style="135" customWidth="1"/>
    <col min="13571" max="13571" width="10.42578125" style="135" customWidth="1"/>
    <col min="13572" max="13572" width="10.7109375" style="135" customWidth="1"/>
    <col min="13573" max="13573" width="9" style="135"/>
    <col min="13574" max="13574" width="20.42578125" style="135" customWidth="1"/>
    <col min="13575" max="13575" width="9" style="135" customWidth="1"/>
    <col min="13576" max="13576" width="6.42578125" style="135" customWidth="1"/>
    <col min="13577" max="13577" width="16.28515625" style="135" customWidth="1"/>
    <col min="13578" max="13578" width="4.7109375" style="135" customWidth="1"/>
    <col min="13579" max="13579" width="16.28515625" style="135" customWidth="1"/>
    <col min="13580" max="13581" width="12.42578125" style="135" customWidth="1"/>
    <col min="13582" max="13582" width="11.28515625" style="135" customWidth="1"/>
    <col min="13583" max="13824" width="9" style="135"/>
    <col min="13825" max="13825" width="5.7109375" style="135" customWidth="1"/>
    <col min="13826" max="13826" width="4.7109375" style="135" customWidth="1"/>
    <col min="13827" max="13827" width="10.42578125" style="135" customWidth="1"/>
    <col min="13828" max="13828" width="10.7109375" style="135" customWidth="1"/>
    <col min="13829" max="13829" width="9" style="135"/>
    <col min="13830" max="13830" width="20.42578125" style="135" customWidth="1"/>
    <col min="13831" max="13831" width="9" style="135" customWidth="1"/>
    <col min="13832" max="13832" width="6.42578125" style="135" customWidth="1"/>
    <col min="13833" max="13833" width="16.28515625" style="135" customWidth="1"/>
    <col min="13834" max="13834" width="4.7109375" style="135" customWidth="1"/>
    <col min="13835" max="13835" width="16.28515625" style="135" customWidth="1"/>
    <col min="13836" max="13837" width="12.42578125" style="135" customWidth="1"/>
    <col min="13838" max="13838" width="11.28515625" style="135" customWidth="1"/>
    <col min="13839" max="14080" width="9" style="135"/>
    <col min="14081" max="14081" width="5.7109375" style="135" customWidth="1"/>
    <col min="14082" max="14082" width="4.7109375" style="135" customWidth="1"/>
    <col min="14083" max="14083" width="10.42578125" style="135" customWidth="1"/>
    <col min="14084" max="14084" width="10.7109375" style="135" customWidth="1"/>
    <col min="14085" max="14085" width="9" style="135"/>
    <col min="14086" max="14086" width="20.42578125" style="135" customWidth="1"/>
    <col min="14087" max="14087" width="9" style="135" customWidth="1"/>
    <col min="14088" max="14088" width="6.42578125" style="135" customWidth="1"/>
    <col min="14089" max="14089" width="16.28515625" style="135" customWidth="1"/>
    <col min="14090" max="14090" width="4.7109375" style="135" customWidth="1"/>
    <col min="14091" max="14091" width="16.28515625" style="135" customWidth="1"/>
    <col min="14092" max="14093" width="12.42578125" style="135" customWidth="1"/>
    <col min="14094" max="14094" width="11.28515625" style="135" customWidth="1"/>
    <col min="14095" max="14336" width="9" style="135"/>
    <col min="14337" max="14337" width="5.7109375" style="135" customWidth="1"/>
    <col min="14338" max="14338" width="4.7109375" style="135" customWidth="1"/>
    <col min="14339" max="14339" width="10.42578125" style="135" customWidth="1"/>
    <col min="14340" max="14340" width="10.7109375" style="135" customWidth="1"/>
    <col min="14341" max="14341" width="9" style="135"/>
    <col min="14342" max="14342" width="20.42578125" style="135" customWidth="1"/>
    <col min="14343" max="14343" width="9" style="135" customWidth="1"/>
    <col min="14344" max="14344" width="6.42578125" style="135" customWidth="1"/>
    <col min="14345" max="14345" width="16.28515625" style="135" customWidth="1"/>
    <col min="14346" max="14346" width="4.7109375" style="135" customWidth="1"/>
    <col min="14347" max="14347" width="16.28515625" style="135" customWidth="1"/>
    <col min="14348" max="14349" width="12.42578125" style="135" customWidth="1"/>
    <col min="14350" max="14350" width="11.28515625" style="135" customWidth="1"/>
    <col min="14351" max="14592" width="9" style="135"/>
    <col min="14593" max="14593" width="5.7109375" style="135" customWidth="1"/>
    <col min="14594" max="14594" width="4.7109375" style="135" customWidth="1"/>
    <col min="14595" max="14595" width="10.42578125" style="135" customWidth="1"/>
    <col min="14596" max="14596" width="10.7109375" style="135" customWidth="1"/>
    <col min="14597" max="14597" width="9" style="135"/>
    <col min="14598" max="14598" width="20.42578125" style="135" customWidth="1"/>
    <col min="14599" max="14599" width="9" style="135" customWidth="1"/>
    <col min="14600" max="14600" width="6.42578125" style="135" customWidth="1"/>
    <col min="14601" max="14601" width="16.28515625" style="135" customWidth="1"/>
    <col min="14602" max="14602" width="4.7109375" style="135" customWidth="1"/>
    <col min="14603" max="14603" width="16.28515625" style="135" customWidth="1"/>
    <col min="14604" max="14605" width="12.42578125" style="135" customWidth="1"/>
    <col min="14606" max="14606" width="11.28515625" style="135" customWidth="1"/>
    <col min="14607" max="14848" width="9" style="135"/>
    <col min="14849" max="14849" width="5.7109375" style="135" customWidth="1"/>
    <col min="14850" max="14850" width="4.7109375" style="135" customWidth="1"/>
    <col min="14851" max="14851" width="10.42578125" style="135" customWidth="1"/>
    <col min="14852" max="14852" width="10.7109375" style="135" customWidth="1"/>
    <col min="14853" max="14853" width="9" style="135"/>
    <col min="14854" max="14854" width="20.42578125" style="135" customWidth="1"/>
    <col min="14855" max="14855" width="9" style="135" customWidth="1"/>
    <col min="14856" max="14856" width="6.42578125" style="135" customWidth="1"/>
    <col min="14857" max="14857" width="16.28515625" style="135" customWidth="1"/>
    <col min="14858" max="14858" width="4.7109375" style="135" customWidth="1"/>
    <col min="14859" max="14859" width="16.28515625" style="135" customWidth="1"/>
    <col min="14860" max="14861" width="12.42578125" style="135" customWidth="1"/>
    <col min="14862" max="14862" width="11.28515625" style="135" customWidth="1"/>
    <col min="14863" max="15104" width="9" style="135"/>
    <col min="15105" max="15105" width="5.7109375" style="135" customWidth="1"/>
    <col min="15106" max="15106" width="4.7109375" style="135" customWidth="1"/>
    <col min="15107" max="15107" width="10.42578125" style="135" customWidth="1"/>
    <col min="15108" max="15108" width="10.7109375" style="135" customWidth="1"/>
    <col min="15109" max="15109" width="9" style="135"/>
    <col min="15110" max="15110" width="20.42578125" style="135" customWidth="1"/>
    <col min="15111" max="15111" width="9" style="135" customWidth="1"/>
    <col min="15112" max="15112" width="6.42578125" style="135" customWidth="1"/>
    <col min="15113" max="15113" width="16.28515625" style="135" customWidth="1"/>
    <col min="15114" max="15114" width="4.7109375" style="135" customWidth="1"/>
    <col min="15115" max="15115" width="16.28515625" style="135" customWidth="1"/>
    <col min="15116" max="15117" width="12.42578125" style="135" customWidth="1"/>
    <col min="15118" max="15118" width="11.28515625" style="135" customWidth="1"/>
    <col min="15119" max="15360" width="9" style="135"/>
    <col min="15361" max="15361" width="5.7109375" style="135" customWidth="1"/>
    <col min="15362" max="15362" width="4.7109375" style="135" customWidth="1"/>
    <col min="15363" max="15363" width="10.42578125" style="135" customWidth="1"/>
    <col min="15364" max="15364" width="10.7109375" style="135" customWidth="1"/>
    <col min="15365" max="15365" width="9" style="135"/>
    <col min="15366" max="15366" width="20.42578125" style="135" customWidth="1"/>
    <col min="15367" max="15367" width="9" style="135" customWidth="1"/>
    <col min="15368" max="15368" width="6.42578125" style="135" customWidth="1"/>
    <col min="15369" max="15369" width="16.28515625" style="135" customWidth="1"/>
    <col min="15370" max="15370" width="4.7109375" style="135" customWidth="1"/>
    <col min="15371" max="15371" width="16.28515625" style="135" customWidth="1"/>
    <col min="15372" max="15373" width="12.42578125" style="135" customWidth="1"/>
    <col min="15374" max="15374" width="11.28515625" style="135" customWidth="1"/>
    <col min="15375" max="15616" width="9" style="135"/>
    <col min="15617" max="15617" width="5.7109375" style="135" customWidth="1"/>
    <col min="15618" max="15618" width="4.7109375" style="135" customWidth="1"/>
    <col min="15619" max="15619" width="10.42578125" style="135" customWidth="1"/>
    <col min="15620" max="15620" width="10.7109375" style="135" customWidth="1"/>
    <col min="15621" max="15621" width="9" style="135"/>
    <col min="15622" max="15622" width="20.42578125" style="135" customWidth="1"/>
    <col min="15623" max="15623" width="9" style="135" customWidth="1"/>
    <col min="15624" max="15624" width="6.42578125" style="135" customWidth="1"/>
    <col min="15625" max="15625" width="16.28515625" style="135" customWidth="1"/>
    <col min="15626" max="15626" width="4.7109375" style="135" customWidth="1"/>
    <col min="15627" max="15627" width="16.28515625" style="135" customWidth="1"/>
    <col min="15628" max="15629" width="12.42578125" style="135" customWidth="1"/>
    <col min="15630" max="15630" width="11.28515625" style="135" customWidth="1"/>
    <col min="15631" max="15872" width="9" style="135"/>
    <col min="15873" max="15873" width="5.7109375" style="135" customWidth="1"/>
    <col min="15874" max="15874" width="4.7109375" style="135" customWidth="1"/>
    <col min="15875" max="15875" width="10.42578125" style="135" customWidth="1"/>
    <col min="15876" max="15876" width="10.7109375" style="135" customWidth="1"/>
    <col min="15877" max="15877" width="9" style="135"/>
    <col min="15878" max="15878" width="20.42578125" style="135" customWidth="1"/>
    <col min="15879" max="15879" width="9" style="135" customWidth="1"/>
    <col min="15880" max="15880" width="6.42578125" style="135" customWidth="1"/>
    <col min="15881" max="15881" width="16.28515625" style="135" customWidth="1"/>
    <col min="15882" max="15882" width="4.7109375" style="135" customWidth="1"/>
    <col min="15883" max="15883" width="16.28515625" style="135" customWidth="1"/>
    <col min="15884" max="15885" width="12.42578125" style="135" customWidth="1"/>
    <col min="15886" max="15886" width="11.28515625" style="135" customWidth="1"/>
    <col min="15887" max="16128" width="9" style="135"/>
    <col min="16129" max="16129" width="5.7109375" style="135" customWidth="1"/>
    <col min="16130" max="16130" width="4.7109375" style="135" customWidth="1"/>
    <col min="16131" max="16131" width="10.42578125" style="135" customWidth="1"/>
    <col min="16132" max="16132" width="10.7109375" style="135" customWidth="1"/>
    <col min="16133" max="16133" width="9" style="135"/>
    <col min="16134" max="16134" width="20.42578125" style="135" customWidth="1"/>
    <col min="16135" max="16135" width="9" style="135" customWidth="1"/>
    <col min="16136" max="16136" width="6.42578125" style="135" customWidth="1"/>
    <col min="16137" max="16137" width="16.28515625" style="135" customWidth="1"/>
    <col min="16138" max="16138" width="4.7109375" style="135" customWidth="1"/>
    <col min="16139" max="16139" width="16.28515625" style="135" customWidth="1"/>
    <col min="16140" max="16141" width="12.42578125" style="135" customWidth="1"/>
    <col min="16142" max="16142" width="11.28515625" style="135" customWidth="1"/>
    <col min="16143" max="16384" width="9" style="135"/>
  </cols>
  <sheetData>
    <row r="1" spans="1:11" ht="15.75" customHeight="1" thickTop="1">
      <c r="A1" s="131"/>
      <c r="B1" s="132"/>
      <c r="C1" s="132"/>
      <c r="D1" s="132"/>
      <c r="E1" s="132"/>
      <c r="F1" s="132"/>
      <c r="G1" s="132"/>
      <c r="H1" s="132"/>
      <c r="I1" s="133"/>
      <c r="J1" s="132"/>
      <c r="K1" s="134"/>
    </row>
    <row r="2" spans="1:11" ht="15.75" customHeight="1">
      <c r="A2" s="328"/>
      <c r="B2" s="299"/>
      <c r="C2" s="299"/>
      <c r="D2" s="299" t="s">
        <v>88</v>
      </c>
      <c r="E2" s="299"/>
      <c r="F2" s="299"/>
      <c r="G2" s="299"/>
      <c r="H2" s="299"/>
      <c r="I2" s="136"/>
      <c r="J2" s="329" t="s">
        <v>89</v>
      </c>
      <c r="K2" s="330"/>
    </row>
    <row r="3" spans="1:11" ht="15.75" customHeight="1">
      <c r="A3" s="137"/>
      <c r="D3" s="299" t="s">
        <v>90</v>
      </c>
      <c r="E3" s="299"/>
      <c r="F3" s="299"/>
      <c r="G3" s="299"/>
      <c r="H3" s="299"/>
      <c r="I3" s="138"/>
      <c r="J3" s="329"/>
      <c r="K3" s="330"/>
    </row>
    <row r="4" spans="1:11" ht="15.75" customHeight="1">
      <c r="A4" s="137"/>
      <c r="I4" s="138"/>
      <c r="J4" s="329"/>
      <c r="K4" s="330"/>
    </row>
    <row r="5" spans="1:11" ht="21" customHeight="1">
      <c r="A5" s="137"/>
      <c r="E5" s="139"/>
      <c r="F5" s="140" t="s">
        <v>91</v>
      </c>
      <c r="I5" s="138"/>
      <c r="J5" s="329"/>
      <c r="K5" s="330"/>
    </row>
    <row r="6" spans="1:11" ht="15.75" customHeight="1">
      <c r="A6" s="137"/>
      <c r="B6" s="139"/>
      <c r="C6" s="139"/>
      <c r="D6" s="139"/>
      <c r="F6" s="141" t="s">
        <v>179</v>
      </c>
      <c r="G6" s="139"/>
      <c r="H6" s="139"/>
      <c r="I6" s="139"/>
      <c r="J6" s="329"/>
      <c r="K6" s="330"/>
    </row>
    <row r="7" spans="1:11" ht="15.75" customHeight="1">
      <c r="A7" s="137"/>
      <c r="B7" s="142"/>
      <c r="C7" s="142"/>
      <c r="D7" s="142" t="s">
        <v>92</v>
      </c>
      <c r="E7" s="135" t="s">
        <v>93</v>
      </c>
      <c r="F7" s="142"/>
      <c r="G7" s="142" t="s">
        <v>94</v>
      </c>
      <c r="H7" s="142"/>
      <c r="I7" s="142"/>
      <c r="J7" s="143"/>
      <c r="K7" s="144"/>
    </row>
    <row r="8" spans="1:11" ht="9" customHeight="1">
      <c r="A8" s="137"/>
      <c r="B8" s="142"/>
      <c r="C8" s="142"/>
      <c r="D8" s="142"/>
      <c r="E8" s="142"/>
      <c r="F8" s="142"/>
      <c r="G8" s="142"/>
      <c r="H8" s="142"/>
      <c r="I8" s="142"/>
      <c r="J8" s="142"/>
      <c r="K8" s="145"/>
    </row>
    <row r="9" spans="1:11" ht="15.75" customHeight="1">
      <c r="A9" s="137"/>
      <c r="B9" s="310" t="s">
        <v>183</v>
      </c>
      <c r="C9" s="310"/>
      <c r="D9" s="310"/>
      <c r="E9" s="310"/>
      <c r="F9" s="310"/>
      <c r="G9" s="310"/>
      <c r="H9" s="310"/>
      <c r="I9" s="310"/>
      <c r="J9" s="310"/>
      <c r="K9" s="311"/>
    </row>
    <row r="10" spans="1:11" ht="15.75" customHeight="1">
      <c r="A10" s="137"/>
      <c r="B10" s="135" t="s">
        <v>184</v>
      </c>
      <c r="D10" s="146"/>
      <c r="E10" s="146"/>
      <c r="F10" s="146"/>
      <c r="I10" s="143"/>
      <c r="J10" s="143"/>
      <c r="K10" s="145"/>
    </row>
    <row r="11" spans="1:11" ht="15.75" customHeight="1">
      <c r="A11" s="137"/>
      <c r="B11" s="310" t="s">
        <v>185</v>
      </c>
      <c r="C11" s="310"/>
      <c r="D11" s="310"/>
      <c r="E11" s="310"/>
      <c r="F11" s="310"/>
      <c r="G11" s="310"/>
      <c r="H11" s="310"/>
      <c r="I11" s="310"/>
      <c r="J11" s="310"/>
      <c r="K11" s="311"/>
    </row>
    <row r="12" spans="1:11" ht="15.75" customHeight="1">
      <c r="A12" s="137"/>
      <c r="B12" s="310" t="s">
        <v>186</v>
      </c>
      <c r="C12" s="310"/>
      <c r="D12" s="310"/>
      <c r="H12" s="310" t="s">
        <v>95</v>
      </c>
      <c r="I12" s="310"/>
      <c r="J12" s="310"/>
      <c r="K12" s="311"/>
    </row>
    <row r="13" spans="1:11" ht="15.75" customHeight="1">
      <c r="A13" s="137"/>
      <c r="B13" s="135" t="s">
        <v>96</v>
      </c>
      <c r="D13" s="147"/>
      <c r="F13" s="135" t="s">
        <v>97</v>
      </c>
      <c r="H13" s="136" t="s">
        <v>98</v>
      </c>
      <c r="I13" s="136"/>
      <c r="K13" s="145"/>
    </row>
    <row r="14" spans="1:11" ht="19.5" customHeight="1">
      <c r="A14" s="148"/>
      <c r="B14" s="149"/>
      <c r="C14" s="149"/>
      <c r="D14" s="149"/>
      <c r="E14" s="149"/>
      <c r="F14" s="149"/>
      <c r="G14" s="149"/>
      <c r="H14" s="149"/>
      <c r="I14" s="150" t="s">
        <v>99</v>
      </c>
      <c r="J14" s="149"/>
      <c r="K14" s="151"/>
    </row>
    <row r="15" spans="1:11" s="153" customFormat="1" ht="33" customHeight="1">
      <c r="A15" s="152" t="s">
        <v>100</v>
      </c>
      <c r="B15" s="331" t="s">
        <v>101</v>
      </c>
      <c r="C15" s="332"/>
      <c r="D15" s="332"/>
      <c r="E15" s="332"/>
      <c r="F15" s="332"/>
      <c r="G15" s="333"/>
      <c r="H15" s="334" t="s">
        <v>102</v>
      </c>
      <c r="I15" s="335"/>
      <c r="J15" s="331" t="s">
        <v>103</v>
      </c>
      <c r="K15" s="336"/>
    </row>
    <row r="16" spans="1:11" ht="15.75" customHeight="1">
      <c r="A16" s="154" t="s">
        <v>104</v>
      </c>
      <c r="B16" s="155" t="s">
        <v>105</v>
      </c>
      <c r="C16" s="156"/>
      <c r="D16" s="156"/>
      <c r="E16" s="156"/>
      <c r="F16" s="157"/>
      <c r="G16" s="158" t="s">
        <v>106</v>
      </c>
      <c r="H16" s="324"/>
      <c r="I16" s="325"/>
      <c r="J16" s="326"/>
      <c r="K16" s="327"/>
    </row>
    <row r="17" spans="1:17" ht="15.75" customHeight="1">
      <c r="A17" s="159" t="s">
        <v>107</v>
      </c>
      <c r="B17" s="306" t="s">
        <v>108</v>
      </c>
      <c r="C17" s="307"/>
      <c r="D17" s="307"/>
      <c r="E17" s="307"/>
      <c r="F17" s="307"/>
      <c r="G17" s="307"/>
      <c r="H17" s="307"/>
      <c r="I17" s="308"/>
      <c r="J17" s="160" t="s">
        <v>109</v>
      </c>
      <c r="K17" s="161"/>
      <c r="M17" s="254"/>
      <c r="N17" s="312"/>
      <c r="O17" s="312"/>
      <c r="P17" s="312"/>
      <c r="Q17" s="312"/>
    </row>
    <row r="18" spans="1:17" s="143" customFormat="1" ht="14.25" customHeight="1">
      <c r="A18" s="159" t="s">
        <v>110</v>
      </c>
      <c r="B18" s="306" t="s">
        <v>111</v>
      </c>
      <c r="C18" s="307"/>
      <c r="D18" s="307"/>
      <c r="E18" s="307"/>
      <c r="F18" s="307"/>
      <c r="G18" s="307"/>
      <c r="H18" s="307"/>
      <c r="I18" s="307"/>
      <c r="J18" s="307"/>
      <c r="K18" s="313"/>
      <c r="L18" s="166"/>
    </row>
    <row r="19" spans="1:17" s="143" customFormat="1" ht="19.5" customHeight="1">
      <c r="A19" s="159">
        <v>1</v>
      </c>
      <c r="B19" s="162" t="s">
        <v>112</v>
      </c>
      <c r="C19" s="162"/>
      <c r="D19" s="162"/>
      <c r="E19" s="162"/>
      <c r="F19" s="162"/>
      <c r="G19" s="162"/>
      <c r="H19" s="160" t="s">
        <v>113</v>
      </c>
      <c r="I19" s="163">
        <f>'02 GTGT đầu vào'!J30</f>
        <v>32937804</v>
      </c>
      <c r="J19" s="164" t="s">
        <v>114</v>
      </c>
      <c r="K19" s="161">
        <f>'02 GTGT đầu vào'!L30</f>
        <v>2679316</v>
      </c>
      <c r="L19" s="165">
        <v>32937804</v>
      </c>
      <c r="M19" s="166"/>
      <c r="N19" s="166"/>
    </row>
    <row r="20" spans="1:17" ht="15.75" customHeight="1">
      <c r="A20" s="159">
        <v>2</v>
      </c>
      <c r="B20" s="167" t="s">
        <v>115</v>
      </c>
      <c r="C20" s="167"/>
      <c r="D20" s="167"/>
      <c r="E20" s="167"/>
      <c r="F20" s="167"/>
      <c r="G20" s="167"/>
      <c r="H20" s="168"/>
      <c r="I20" s="169"/>
      <c r="J20" s="160" t="s">
        <v>116</v>
      </c>
      <c r="K20" s="170">
        <f>'02 GTGT đầu vào'!M30</f>
        <v>2679316</v>
      </c>
    </row>
    <row r="21" spans="1:17" ht="15.75" customHeight="1">
      <c r="A21" s="159" t="s">
        <v>117</v>
      </c>
      <c r="B21" s="162" t="s">
        <v>118</v>
      </c>
      <c r="C21" s="162"/>
      <c r="D21" s="162"/>
      <c r="E21" s="162"/>
      <c r="F21" s="162"/>
      <c r="G21" s="162"/>
      <c r="H21" s="171"/>
      <c r="I21" s="171"/>
      <c r="J21" s="171"/>
      <c r="K21" s="172"/>
    </row>
    <row r="22" spans="1:17" ht="15.75" customHeight="1">
      <c r="A22" s="159">
        <v>1</v>
      </c>
      <c r="B22" s="167" t="s">
        <v>119</v>
      </c>
      <c r="C22" s="167"/>
      <c r="D22" s="167"/>
      <c r="E22" s="167"/>
      <c r="F22" s="167"/>
      <c r="G22" s="167"/>
      <c r="H22" s="168" t="s">
        <v>120</v>
      </c>
      <c r="I22" s="173"/>
      <c r="J22" s="168"/>
      <c r="K22" s="174"/>
    </row>
    <row r="23" spans="1:17" s="180" customFormat="1" ht="12.75">
      <c r="A23" s="175">
        <v>2</v>
      </c>
      <c r="B23" s="314" t="s">
        <v>121</v>
      </c>
      <c r="C23" s="315"/>
      <c r="D23" s="315"/>
      <c r="E23" s="315"/>
      <c r="F23" s="315"/>
      <c r="G23" s="316"/>
      <c r="H23" s="176" t="s">
        <v>122</v>
      </c>
      <c r="I23" s="177">
        <f>I24+I25+I26</f>
        <v>0</v>
      </c>
      <c r="J23" s="178" t="s">
        <v>123</v>
      </c>
      <c r="K23" s="179">
        <f>K25+K26</f>
        <v>0</v>
      </c>
    </row>
    <row r="24" spans="1:17" ht="15.75" customHeight="1">
      <c r="A24" s="181" t="s">
        <v>124</v>
      </c>
      <c r="B24" s="156" t="s">
        <v>125</v>
      </c>
      <c r="C24" s="156"/>
      <c r="D24" s="156"/>
      <c r="E24" s="156"/>
      <c r="F24" s="156"/>
      <c r="G24" s="156"/>
      <c r="H24" s="168" t="s">
        <v>126</v>
      </c>
      <c r="I24" s="173">
        <f>'01 GTGT bán ra'!J17</f>
        <v>0</v>
      </c>
      <c r="J24" s="168"/>
      <c r="K24" s="174"/>
      <c r="M24" s="182"/>
    </row>
    <row r="25" spans="1:17" ht="15.75" customHeight="1">
      <c r="A25" s="181" t="s">
        <v>127</v>
      </c>
      <c r="B25" s="156" t="s">
        <v>128</v>
      </c>
      <c r="C25" s="156"/>
      <c r="D25" s="156"/>
      <c r="E25" s="156"/>
      <c r="F25" s="156"/>
      <c r="G25" s="156"/>
      <c r="H25" s="168" t="s">
        <v>129</v>
      </c>
      <c r="I25" s="173"/>
      <c r="J25" s="168" t="s">
        <v>130</v>
      </c>
      <c r="K25" s="174"/>
    </row>
    <row r="26" spans="1:17" ht="15.75" customHeight="1">
      <c r="A26" s="181" t="s">
        <v>131</v>
      </c>
      <c r="B26" s="156" t="s">
        <v>132</v>
      </c>
      <c r="C26" s="156"/>
      <c r="D26" s="156"/>
      <c r="E26" s="156"/>
      <c r="F26" s="156"/>
      <c r="G26" s="156"/>
      <c r="H26" s="168" t="s">
        <v>133</v>
      </c>
      <c r="I26" s="183">
        <f>'01 GTGT bán ra'!J24</f>
        <v>0</v>
      </c>
      <c r="J26" s="168" t="s">
        <v>134</v>
      </c>
      <c r="K26" s="184">
        <f>'01 GTGT bán ra'!K24</f>
        <v>0</v>
      </c>
      <c r="L26" s="185"/>
      <c r="M26" s="182"/>
      <c r="N26" s="182"/>
    </row>
    <row r="27" spans="1:17" ht="29.25" customHeight="1">
      <c r="A27" s="159">
        <v>3</v>
      </c>
      <c r="B27" s="317" t="s">
        <v>135</v>
      </c>
      <c r="C27" s="318"/>
      <c r="D27" s="318"/>
      <c r="E27" s="318"/>
      <c r="F27" s="318"/>
      <c r="G27" s="319"/>
      <c r="H27" s="168" t="s">
        <v>136</v>
      </c>
      <c r="I27" s="186">
        <f>I22+I23</f>
        <v>0</v>
      </c>
      <c r="J27" s="168" t="s">
        <v>137</v>
      </c>
      <c r="K27" s="161">
        <f>K23</f>
        <v>0</v>
      </c>
      <c r="L27" s="182"/>
      <c r="M27" s="182"/>
    </row>
    <row r="28" spans="1:17" ht="15.75" customHeight="1">
      <c r="A28" s="159" t="s">
        <v>138</v>
      </c>
      <c r="B28" s="155" t="s">
        <v>139</v>
      </c>
      <c r="C28" s="167"/>
      <c r="D28" s="167"/>
      <c r="E28" s="167"/>
      <c r="F28" s="167"/>
      <c r="G28" s="167"/>
      <c r="H28" s="167"/>
      <c r="I28" s="167"/>
      <c r="J28" s="168" t="s">
        <v>140</v>
      </c>
      <c r="K28" s="161">
        <f>K27-K20</f>
        <v>-2679316</v>
      </c>
      <c r="M28" s="187"/>
    </row>
    <row r="29" spans="1:17" ht="15.75" customHeight="1">
      <c r="A29" s="159" t="s">
        <v>141</v>
      </c>
      <c r="B29" s="167" t="s">
        <v>142</v>
      </c>
      <c r="C29" s="156"/>
      <c r="D29" s="156"/>
      <c r="E29" s="156"/>
      <c r="F29" s="156"/>
      <c r="G29" s="156"/>
      <c r="H29" s="168"/>
      <c r="I29" s="173"/>
      <c r="J29" s="168"/>
      <c r="K29" s="174">
        <v>0</v>
      </c>
    </row>
    <row r="30" spans="1:17" ht="15.75" customHeight="1">
      <c r="A30" s="181" t="s">
        <v>124</v>
      </c>
      <c r="B30" s="321" t="s">
        <v>143</v>
      </c>
      <c r="C30" s="322"/>
      <c r="D30" s="322"/>
      <c r="E30" s="322"/>
      <c r="F30" s="322"/>
      <c r="G30" s="322"/>
      <c r="H30" s="322"/>
      <c r="I30" s="323"/>
      <c r="J30" s="168" t="s">
        <v>144</v>
      </c>
      <c r="K30" s="174"/>
    </row>
    <row r="31" spans="1:17" ht="15.75" customHeight="1">
      <c r="A31" s="181" t="s">
        <v>127</v>
      </c>
      <c r="B31" s="303" t="s">
        <v>145</v>
      </c>
      <c r="C31" s="304"/>
      <c r="D31" s="304"/>
      <c r="E31" s="304"/>
      <c r="F31" s="304"/>
      <c r="G31" s="304"/>
      <c r="H31" s="304"/>
      <c r="I31" s="305"/>
      <c r="J31" s="168" t="s">
        <v>146</v>
      </c>
      <c r="K31" s="174"/>
    </row>
    <row r="32" spans="1:17" ht="15.75" customHeight="1">
      <c r="A32" s="159" t="s">
        <v>147</v>
      </c>
      <c r="B32" s="167" t="s">
        <v>148</v>
      </c>
      <c r="C32" s="156"/>
      <c r="D32" s="156"/>
      <c r="E32" s="156"/>
      <c r="F32" s="156"/>
      <c r="G32" s="156"/>
      <c r="H32" s="171"/>
      <c r="I32" s="173"/>
      <c r="J32" s="168" t="s">
        <v>149</v>
      </c>
      <c r="K32" s="174"/>
    </row>
    <row r="33" spans="1:14" ht="15.75" customHeight="1">
      <c r="A33" s="159" t="s">
        <v>150</v>
      </c>
      <c r="B33" s="306" t="s">
        <v>151</v>
      </c>
      <c r="C33" s="307"/>
      <c r="D33" s="307"/>
      <c r="E33" s="307"/>
      <c r="F33" s="307"/>
      <c r="G33" s="307"/>
      <c r="H33" s="307"/>
      <c r="I33" s="308"/>
      <c r="J33" s="168"/>
      <c r="K33" s="174"/>
    </row>
    <row r="34" spans="1:14" ht="15.75" customHeight="1">
      <c r="A34" s="159">
        <v>1</v>
      </c>
      <c r="B34" s="188" t="s">
        <v>152</v>
      </c>
      <c r="C34" s="162"/>
      <c r="D34" s="162"/>
      <c r="E34" s="162"/>
      <c r="F34" s="162"/>
      <c r="G34" s="162"/>
      <c r="H34" s="162"/>
      <c r="I34" s="189"/>
      <c r="J34" s="168" t="s">
        <v>153</v>
      </c>
      <c r="K34" s="174">
        <f>IF(K28-K17+K30-K31-K32&gt;0,K28-K17+K30-K31-K32,0)</f>
        <v>0</v>
      </c>
    </row>
    <row r="35" spans="1:14" ht="15.75" customHeight="1">
      <c r="A35" s="159">
        <v>2</v>
      </c>
      <c r="B35" s="188" t="s">
        <v>154</v>
      </c>
      <c r="C35" s="162"/>
      <c r="D35" s="162"/>
      <c r="E35" s="162"/>
      <c r="F35" s="162"/>
      <c r="G35" s="162"/>
      <c r="H35" s="162"/>
      <c r="I35" s="189"/>
      <c r="J35" s="168" t="s">
        <v>155</v>
      </c>
      <c r="K35" s="174"/>
    </row>
    <row r="36" spans="1:14" ht="15.75" customHeight="1">
      <c r="A36" s="159">
        <v>3</v>
      </c>
      <c r="B36" s="188" t="s">
        <v>156</v>
      </c>
      <c r="C36" s="162"/>
      <c r="D36" s="162"/>
      <c r="E36" s="162"/>
      <c r="F36" s="162"/>
      <c r="G36" s="162"/>
      <c r="H36" s="162"/>
      <c r="I36" s="189"/>
      <c r="J36" s="168" t="s">
        <v>157</v>
      </c>
      <c r="K36" s="174">
        <f>K34-K35</f>
        <v>0</v>
      </c>
      <c r="N36" s="182"/>
    </row>
    <row r="37" spans="1:14" s="190" customFormat="1" ht="15.75" customHeight="1">
      <c r="A37" s="159">
        <v>4</v>
      </c>
      <c r="B37" s="306" t="s">
        <v>158</v>
      </c>
      <c r="C37" s="307"/>
      <c r="D37" s="307"/>
      <c r="E37" s="307"/>
      <c r="F37" s="307"/>
      <c r="G37" s="307"/>
      <c r="H37" s="307"/>
      <c r="I37" s="308"/>
      <c r="J37" s="168" t="s">
        <v>159</v>
      </c>
      <c r="K37" s="174">
        <f>-IF(K28-K17+K30-K31-K32&lt;0,K28-K17+K30-K31-K32,0)</f>
        <v>2679316</v>
      </c>
    </row>
    <row r="38" spans="1:14" s="190" customFormat="1" ht="15.75" customHeight="1">
      <c r="A38" s="159">
        <v>4.0999999999999996</v>
      </c>
      <c r="B38" s="306" t="s">
        <v>160</v>
      </c>
      <c r="C38" s="307"/>
      <c r="D38" s="307"/>
      <c r="E38" s="307"/>
      <c r="F38" s="307"/>
      <c r="G38" s="307"/>
      <c r="H38" s="307"/>
      <c r="I38" s="308"/>
      <c r="J38" s="168" t="s">
        <v>161</v>
      </c>
      <c r="K38" s="174"/>
    </row>
    <row r="39" spans="1:14" s="190" customFormat="1" ht="15.75" customHeight="1">
      <c r="A39" s="159">
        <v>4.2</v>
      </c>
      <c r="B39" s="306" t="s">
        <v>162</v>
      </c>
      <c r="C39" s="307"/>
      <c r="D39" s="307"/>
      <c r="E39" s="307"/>
      <c r="F39" s="307"/>
      <c r="G39" s="307"/>
      <c r="H39" s="307"/>
      <c r="I39" s="308"/>
      <c r="J39" s="168" t="s">
        <v>163</v>
      </c>
      <c r="K39" s="174">
        <f>K37-K38</f>
        <v>2679316</v>
      </c>
    </row>
    <row r="40" spans="1:14" s="197" customFormat="1" ht="12" customHeight="1" thickBot="1">
      <c r="A40" s="191"/>
      <c r="B40" s="192"/>
      <c r="C40" s="192"/>
      <c r="D40" s="192"/>
      <c r="E40" s="192"/>
      <c r="F40" s="192"/>
      <c r="G40" s="192"/>
      <c r="H40" s="193"/>
      <c r="I40" s="194"/>
      <c r="J40" s="195"/>
      <c r="K40" s="196"/>
    </row>
    <row r="41" spans="1:14" ht="15.75" customHeight="1">
      <c r="A41" s="198"/>
      <c r="B41" s="199"/>
      <c r="C41" s="199"/>
      <c r="D41" s="199"/>
      <c r="E41" s="199"/>
      <c r="F41" s="199"/>
      <c r="G41" s="199"/>
      <c r="H41" s="199"/>
      <c r="I41" s="200"/>
      <c r="J41" s="199"/>
      <c r="K41" s="201"/>
    </row>
    <row r="42" spans="1:14" ht="15.75" customHeight="1">
      <c r="A42" s="309" t="s">
        <v>164</v>
      </c>
      <c r="B42" s="310"/>
      <c r="C42" s="310"/>
      <c r="D42" s="310"/>
      <c r="E42" s="310"/>
      <c r="F42" s="310"/>
      <c r="G42" s="310"/>
      <c r="H42" s="310"/>
      <c r="I42" s="310"/>
      <c r="J42" s="310"/>
      <c r="K42" s="311"/>
    </row>
    <row r="43" spans="1:14" ht="15.75" customHeight="1">
      <c r="A43" s="137"/>
      <c r="G43" s="202"/>
      <c r="H43" s="203" t="s">
        <v>165</v>
      </c>
      <c r="I43" s="320">
        <f ca="1">TODAY()</f>
        <v>46131</v>
      </c>
      <c r="J43" s="320"/>
      <c r="K43" s="204"/>
    </row>
    <row r="44" spans="1:14" ht="15.75" customHeight="1">
      <c r="A44" s="137"/>
      <c r="G44" s="299" t="s">
        <v>166</v>
      </c>
      <c r="H44" s="299"/>
      <c r="I44" s="299"/>
      <c r="J44" s="299"/>
      <c r="K44" s="300"/>
    </row>
    <row r="45" spans="1:14" ht="15.75" customHeight="1">
      <c r="A45" s="137"/>
      <c r="G45" s="299" t="s">
        <v>167</v>
      </c>
      <c r="H45" s="299"/>
      <c r="I45" s="299"/>
      <c r="J45" s="299"/>
      <c r="K45" s="300"/>
    </row>
    <row r="46" spans="1:14" ht="15.75" customHeight="1">
      <c r="A46" s="137"/>
      <c r="I46" s="136"/>
      <c r="K46" s="205"/>
    </row>
    <row r="47" spans="1:14" ht="15.75" customHeight="1">
      <c r="A47" s="137"/>
      <c r="I47" s="136"/>
      <c r="K47" s="205"/>
    </row>
    <row r="48" spans="1:14" ht="15.75" customHeight="1">
      <c r="A48" s="137"/>
      <c r="I48" s="136"/>
      <c r="K48" s="205"/>
    </row>
    <row r="49" spans="1:11" ht="15.75" customHeight="1">
      <c r="A49" s="137"/>
      <c r="I49" s="136"/>
      <c r="K49" s="205"/>
    </row>
    <row r="50" spans="1:11" ht="15.75" customHeight="1">
      <c r="A50" s="137"/>
      <c r="G50" s="301"/>
      <c r="H50" s="301"/>
      <c r="I50" s="301"/>
      <c r="J50" s="301"/>
      <c r="K50" s="302"/>
    </row>
    <row r="51" spans="1:11" ht="13.5" customHeight="1" thickBot="1">
      <c r="A51" s="206"/>
      <c r="B51" s="207"/>
      <c r="C51" s="207"/>
      <c r="D51" s="207"/>
      <c r="E51" s="207"/>
      <c r="F51" s="207"/>
      <c r="G51" s="207"/>
      <c r="H51" s="207"/>
      <c r="I51" s="208"/>
      <c r="J51" s="207"/>
      <c r="K51" s="209"/>
    </row>
    <row r="52" spans="1:11" ht="2.25" customHeight="1" thickTop="1" thickBot="1">
      <c r="A52" s="210"/>
      <c r="B52" s="211"/>
      <c r="C52" s="211"/>
      <c r="D52" s="211"/>
      <c r="E52" s="211"/>
      <c r="F52" s="211"/>
      <c r="G52" s="211"/>
      <c r="H52" s="211"/>
      <c r="I52" s="212"/>
      <c r="J52" s="211"/>
      <c r="K52" s="213"/>
    </row>
  </sheetData>
  <mergeCells count="29">
    <mergeCell ref="H16:I16"/>
    <mergeCell ref="J16:K16"/>
    <mergeCell ref="B17:I17"/>
    <mergeCell ref="B11:K11"/>
    <mergeCell ref="A2:C2"/>
    <mergeCell ref="D2:H2"/>
    <mergeCell ref="J2:K6"/>
    <mergeCell ref="D3:H3"/>
    <mergeCell ref="B9:K9"/>
    <mergeCell ref="B12:D12"/>
    <mergeCell ref="H12:K12"/>
    <mergeCell ref="B15:G15"/>
    <mergeCell ref="H15:I15"/>
    <mergeCell ref="J15:K15"/>
    <mergeCell ref="N17:Q17"/>
    <mergeCell ref="B18:K18"/>
    <mergeCell ref="B23:G23"/>
    <mergeCell ref="B27:G27"/>
    <mergeCell ref="I43:J43"/>
    <mergeCell ref="B30:I30"/>
    <mergeCell ref="G44:K44"/>
    <mergeCell ref="G45:K45"/>
    <mergeCell ref="G50:K50"/>
    <mergeCell ref="B31:I31"/>
    <mergeCell ref="B33:I33"/>
    <mergeCell ref="B37:I37"/>
    <mergeCell ref="B38:I38"/>
    <mergeCell ref="B39:I39"/>
    <mergeCell ref="A42:K42"/>
  </mergeCells>
  <pageMargins left="0.6" right="0.51" top="0.36" bottom="0.35" header="0.5" footer="0.5"/>
  <pageSetup scale="8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62"/>
  <sheetViews>
    <sheetView topLeftCell="A6" zoomScale="80" zoomScaleNormal="80" workbookViewId="0">
      <selection activeCell="G16" sqref="G16"/>
    </sheetView>
  </sheetViews>
  <sheetFormatPr defaultRowHeight="15"/>
  <cols>
    <col min="2" max="2" width="5.28515625" customWidth="1"/>
    <col min="3" max="3" width="5.7109375" customWidth="1"/>
    <col min="4" max="4" width="10.7109375" customWidth="1"/>
    <col min="5" max="5" width="10.7109375" style="284" customWidth="1"/>
    <col min="6" max="6" width="12.28515625" customWidth="1"/>
    <col min="7" max="7" width="64" customWidth="1"/>
    <col min="8" max="8" width="20.5703125" customWidth="1"/>
    <col min="9" max="9" width="34.7109375" bestFit="1" customWidth="1"/>
    <col min="10" max="10" width="12.42578125" bestFit="1" customWidth="1"/>
    <col min="11" max="11" width="9.5703125" style="261" bestFit="1" customWidth="1"/>
    <col min="12" max="12" width="13.7109375" style="234" bestFit="1" customWidth="1"/>
    <col min="13" max="13" width="13.7109375" style="234" customWidth="1"/>
    <col min="14" max="14" width="12.42578125" bestFit="1" customWidth="1"/>
    <col min="15" max="15" width="12.7109375" style="253" bestFit="1" customWidth="1"/>
    <col min="16" max="16" width="12" bestFit="1" customWidth="1"/>
    <col min="17" max="17" width="8.28515625" customWidth="1"/>
  </cols>
  <sheetData>
    <row r="1" spans="1:15">
      <c r="A1" s="77"/>
      <c r="B1" s="78"/>
      <c r="C1" s="77"/>
      <c r="D1" s="69"/>
      <c r="E1" s="275"/>
      <c r="F1" s="69"/>
      <c r="G1" s="79"/>
      <c r="H1" s="79"/>
      <c r="I1" s="79"/>
      <c r="J1" s="77"/>
      <c r="K1" s="258"/>
      <c r="L1" s="221"/>
      <c r="M1" s="221"/>
      <c r="N1" s="77"/>
      <c r="O1" s="243"/>
    </row>
    <row r="2" spans="1:15">
      <c r="A2" s="77"/>
      <c r="B2" s="128" t="s">
        <v>174</v>
      </c>
      <c r="C2" s="129"/>
      <c r="D2" s="129"/>
      <c r="E2" s="274"/>
      <c r="F2" s="129"/>
      <c r="G2" s="129"/>
      <c r="H2" s="79"/>
      <c r="I2" s="79"/>
      <c r="J2" s="77"/>
      <c r="K2" s="258"/>
      <c r="L2" s="221"/>
      <c r="M2" s="221"/>
      <c r="N2" s="77"/>
      <c r="O2" s="243"/>
    </row>
    <row r="3" spans="1:15">
      <c r="A3" s="77"/>
      <c r="B3" s="358" t="s">
        <v>175</v>
      </c>
      <c r="C3" s="359"/>
      <c r="D3" s="359"/>
      <c r="E3" s="359"/>
      <c r="F3" s="359"/>
      <c r="G3" s="359"/>
      <c r="H3" s="79"/>
      <c r="I3" s="79"/>
      <c r="J3" s="77"/>
      <c r="K3" s="258"/>
      <c r="L3" s="221"/>
      <c r="M3" s="221"/>
      <c r="N3" s="77"/>
      <c r="O3" s="243"/>
    </row>
    <row r="4" spans="1:15">
      <c r="A4" s="77"/>
      <c r="B4" s="358" t="s">
        <v>0</v>
      </c>
      <c r="C4" s="359"/>
      <c r="D4" s="359"/>
      <c r="E4" s="359"/>
      <c r="F4" s="359"/>
      <c r="G4" s="359"/>
      <c r="H4" s="79"/>
      <c r="I4" s="79"/>
      <c r="J4" s="77"/>
      <c r="K4" s="258"/>
      <c r="L4" s="221"/>
      <c r="M4" s="221"/>
      <c r="N4" s="77"/>
      <c r="O4" s="243"/>
    </row>
    <row r="5" spans="1:15">
      <c r="A5" s="77"/>
      <c r="B5" s="80"/>
      <c r="C5" s="81"/>
      <c r="D5" s="69"/>
      <c r="E5" s="275"/>
      <c r="F5" s="69"/>
      <c r="G5" s="79"/>
      <c r="H5" s="79"/>
      <c r="I5" s="79"/>
      <c r="J5" s="77"/>
      <c r="K5" s="258"/>
      <c r="L5" s="221"/>
      <c r="M5" s="221"/>
      <c r="N5" s="77"/>
      <c r="O5" s="243"/>
    </row>
    <row r="6" spans="1:15">
      <c r="A6" s="77"/>
      <c r="B6" s="81"/>
      <c r="C6" s="81"/>
      <c r="D6" s="69"/>
      <c r="E6" s="275"/>
      <c r="F6" s="353" t="s">
        <v>170</v>
      </c>
      <c r="G6" s="353"/>
      <c r="H6" s="353"/>
      <c r="I6" s="353"/>
      <c r="J6" s="353"/>
      <c r="K6" s="353"/>
      <c r="L6" s="353"/>
      <c r="M6" s="353"/>
      <c r="N6" s="353"/>
      <c r="O6" s="353"/>
    </row>
    <row r="7" spans="1:15">
      <c r="A7" s="77"/>
      <c r="B7" s="81"/>
      <c r="C7" s="82"/>
      <c r="D7" s="81"/>
      <c r="E7" s="276"/>
      <c r="F7" s="360" t="s">
        <v>172</v>
      </c>
      <c r="G7" s="360"/>
      <c r="H7" s="360"/>
      <c r="I7" s="360"/>
      <c r="J7" s="360"/>
      <c r="K7" s="360"/>
      <c r="L7" s="360"/>
      <c r="M7" s="360"/>
      <c r="N7" s="360"/>
      <c r="O7" s="360"/>
    </row>
    <row r="8" spans="1:15">
      <c r="A8" s="77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</row>
    <row r="9" spans="1:15">
      <c r="A9" s="77"/>
      <c r="B9" s="81"/>
      <c r="C9" s="81"/>
      <c r="D9" s="81"/>
      <c r="E9" s="276"/>
      <c r="F9" s="81"/>
      <c r="G9" s="81"/>
      <c r="H9" s="123"/>
      <c r="I9" s="81"/>
      <c r="J9" s="81"/>
      <c r="K9" s="259"/>
      <c r="L9" s="222"/>
      <c r="M9" s="222"/>
      <c r="N9" s="81"/>
      <c r="O9" s="244"/>
    </row>
    <row r="10" spans="1:15">
      <c r="A10" s="77"/>
      <c r="B10" s="362" t="s">
        <v>50</v>
      </c>
      <c r="C10" s="362"/>
      <c r="D10" s="362"/>
      <c r="E10" s="362"/>
      <c r="F10" s="362"/>
      <c r="G10" s="362"/>
      <c r="H10" s="362"/>
      <c r="I10" s="362"/>
      <c r="J10" s="362"/>
      <c r="K10" s="362"/>
      <c r="L10" s="362"/>
      <c r="M10" s="362"/>
      <c r="N10" s="362"/>
      <c r="O10" s="362"/>
    </row>
    <row r="11" spans="1:15">
      <c r="A11" s="83"/>
      <c r="B11" s="338" t="s">
        <v>51</v>
      </c>
      <c r="C11" s="338" t="s">
        <v>52</v>
      </c>
      <c r="D11" s="338"/>
      <c r="E11" s="338"/>
      <c r="F11" s="338"/>
      <c r="G11" s="338" t="s">
        <v>53</v>
      </c>
      <c r="H11" s="338" t="s">
        <v>54</v>
      </c>
      <c r="I11" s="338" t="s">
        <v>55</v>
      </c>
      <c r="J11" s="338" t="s">
        <v>56</v>
      </c>
      <c r="K11" s="368" t="s">
        <v>57</v>
      </c>
      <c r="L11" s="366" t="s">
        <v>58</v>
      </c>
      <c r="M11" s="285"/>
      <c r="N11" s="363" t="s">
        <v>59</v>
      </c>
      <c r="O11" s="367" t="s">
        <v>60</v>
      </c>
    </row>
    <row r="12" spans="1:15">
      <c r="A12" s="83"/>
      <c r="B12" s="338"/>
      <c r="C12" s="338"/>
      <c r="D12" s="338"/>
      <c r="E12" s="338"/>
      <c r="F12" s="338"/>
      <c r="G12" s="338"/>
      <c r="H12" s="338"/>
      <c r="I12" s="338"/>
      <c r="J12" s="338"/>
      <c r="K12" s="368"/>
      <c r="L12" s="366"/>
      <c r="M12" s="286"/>
      <c r="N12" s="364"/>
      <c r="O12" s="367"/>
    </row>
    <row r="13" spans="1:15" ht="71.25">
      <c r="A13" s="83"/>
      <c r="B13" s="338"/>
      <c r="C13" s="121" t="s">
        <v>61</v>
      </c>
      <c r="D13" s="121" t="s">
        <v>62</v>
      </c>
      <c r="E13" s="121" t="s">
        <v>63</v>
      </c>
      <c r="F13" s="121" t="s">
        <v>64</v>
      </c>
      <c r="G13" s="338"/>
      <c r="H13" s="338"/>
      <c r="I13" s="338"/>
      <c r="J13" s="338"/>
      <c r="K13" s="368"/>
      <c r="L13" s="366"/>
      <c r="M13" s="287" t="s">
        <v>176</v>
      </c>
      <c r="N13" s="365"/>
      <c r="O13" s="367"/>
    </row>
    <row r="14" spans="1:15">
      <c r="A14" s="84"/>
      <c r="B14" s="85" t="s">
        <v>65</v>
      </c>
      <c r="C14" s="86" t="s">
        <v>66</v>
      </c>
      <c r="D14" s="85" t="s">
        <v>67</v>
      </c>
      <c r="E14" s="277" t="s">
        <v>68</v>
      </c>
      <c r="F14" s="86" t="s">
        <v>69</v>
      </c>
      <c r="G14" s="86" t="s">
        <v>70</v>
      </c>
      <c r="H14" s="86" t="s">
        <v>71</v>
      </c>
      <c r="I14" s="85" t="s">
        <v>72</v>
      </c>
      <c r="J14" s="87" t="s">
        <v>73</v>
      </c>
      <c r="K14" s="260" t="s">
        <v>74</v>
      </c>
      <c r="L14" s="223" t="s">
        <v>75</v>
      </c>
      <c r="M14" s="288"/>
      <c r="N14" s="86"/>
      <c r="O14" s="245" t="s">
        <v>76</v>
      </c>
    </row>
    <row r="15" spans="1:15">
      <c r="A15" s="88"/>
      <c r="B15" s="339" t="s">
        <v>77</v>
      </c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1"/>
    </row>
    <row r="16" spans="1:15">
      <c r="A16" s="88"/>
      <c r="B16" s="257"/>
      <c r="C16" s="257"/>
      <c r="D16" s="295" t="s">
        <v>187</v>
      </c>
      <c r="E16" s="295" t="s">
        <v>188</v>
      </c>
      <c r="F16" s="295" t="s">
        <v>189</v>
      </c>
      <c r="G16" s="295" t="s">
        <v>190</v>
      </c>
      <c r="H16" s="295" t="s">
        <v>191</v>
      </c>
      <c r="I16" s="295" t="s">
        <v>226</v>
      </c>
      <c r="J16" s="296">
        <v>38889</v>
      </c>
      <c r="K16" s="297">
        <v>7.9996914294530583E-2</v>
      </c>
      <c r="L16" s="296">
        <v>3111</v>
      </c>
      <c r="M16" s="296">
        <f>L16</f>
        <v>3111</v>
      </c>
      <c r="N16" s="296">
        <f>J16+L16</f>
        <v>42000</v>
      </c>
      <c r="O16" s="297">
        <v>7.9996914294530583E-2</v>
      </c>
    </row>
    <row r="17" spans="1:15">
      <c r="A17" s="88"/>
      <c r="B17" s="257"/>
      <c r="C17" s="257"/>
      <c r="D17" s="295" t="s">
        <v>180</v>
      </c>
      <c r="E17" s="295" t="s">
        <v>192</v>
      </c>
      <c r="F17" s="295" t="s">
        <v>193</v>
      </c>
      <c r="G17" s="295" t="s">
        <v>177</v>
      </c>
      <c r="H17" s="295" t="s">
        <v>178</v>
      </c>
      <c r="I17" s="295" t="s">
        <v>182</v>
      </c>
      <c r="J17" s="296">
        <v>109091</v>
      </c>
      <c r="K17" s="297">
        <v>9.9999083334097225E-2</v>
      </c>
      <c r="L17" s="296">
        <v>10909</v>
      </c>
      <c r="M17" s="296">
        <f t="shared" ref="M17:M27" si="0">L17</f>
        <v>10909</v>
      </c>
      <c r="N17" s="296">
        <f t="shared" ref="N17:N22" si="1">J17+L17</f>
        <v>120000</v>
      </c>
      <c r="O17" s="297">
        <v>9.9999083334097225E-2</v>
      </c>
    </row>
    <row r="18" spans="1:15">
      <c r="A18" s="88"/>
      <c r="B18" s="257"/>
      <c r="C18" s="257"/>
      <c r="D18" s="295" t="s">
        <v>180</v>
      </c>
      <c r="E18" s="295" t="s">
        <v>194</v>
      </c>
      <c r="F18" s="295" t="s">
        <v>193</v>
      </c>
      <c r="G18" s="295" t="s">
        <v>177</v>
      </c>
      <c r="H18" s="295" t="s">
        <v>178</v>
      </c>
      <c r="I18" s="295" t="s">
        <v>182</v>
      </c>
      <c r="J18" s="296">
        <v>109091</v>
      </c>
      <c r="K18" s="297">
        <v>9.9999083334097225E-2</v>
      </c>
      <c r="L18" s="296">
        <v>10909</v>
      </c>
      <c r="M18" s="296">
        <f t="shared" si="0"/>
        <v>10909</v>
      </c>
      <c r="N18" s="296">
        <f t="shared" si="1"/>
        <v>120000</v>
      </c>
      <c r="O18" s="297">
        <v>9.9999083334097225E-2</v>
      </c>
    </row>
    <row r="19" spans="1:15">
      <c r="A19" s="88"/>
      <c r="B19" s="257"/>
      <c r="C19" s="257"/>
      <c r="D19" s="295" t="s">
        <v>180</v>
      </c>
      <c r="E19" s="295" t="s">
        <v>195</v>
      </c>
      <c r="F19" s="295" t="s">
        <v>196</v>
      </c>
      <c r="G19" s="295" t="s">
        <v>177</v>
      </c>
      <c r="H19" s="295" t="s">
        <v>178</v>
      </c>
      <c r="I19" s="295" t="s">
        <v>182</v>
      </c>
      <c r="J19" s="296">
        <v>2574545</v>
      </c>
      <c r="K19" s="297">
        <v>0.10000019420907384</v>
      </c>
      <c r="L19" s="296">
        <v>257455</v>
      </c>
      <c r="M19" s="296">
        <f t="shared" si="0"/>
        <v>257455</v>
      </c>
      <c r="N19" s="296">
        <f t="shared" si="1"/>
        <v>2832000</v>
      </c>
      <c r="O19" s="297">
        <v>0.10000019420907384</v>
      </c>
    </row>
    <row r="20" spans="1:15" ht="30">
      <c r="A20" s="88"/>
      <c r="B20" s="257"/>
      <c r="C20" s="257"/>
      <c r="D20" s="295" t="s">
        <v>197</v>
      </c>
      <c r="E20" s="295" t="s">
        <v>198</v>
      </c>
      <c r="F20" s="295" t="s">
        <v>199</v>
      </c>
      <c r="G20" s="295" t="s">
        <v>205</v>
      </c>
      <c r="H20" s="295" t="s">
        <v>207</v>
      </c>
      <c r="I20" s="295" t="s">
        <v>182</v>
      </c>
      <c r="J20" s="296">
        <v>389815</v>
      </c>
      <c r="K20" s="297">
        <v>7.9999486936110725E-2</v>
      </c>
      <c r="L20" s="296">
        <v>31185</v>
      </c>
      <c r="M20" s="296">
        <f t="shared" si="0"/>
        <v>31185</v>
      </c>
      <c r="N20" s="296">
        <f t="shared" si="1"/>
        <v>421000</v>
      </c>
      <c r="O20" s="297">
        <v>7.9999486936110725E-2</v>
      </c>
    </row>
    <row r="21" spans="1:15" ht="30">
      <c r="A21" s="88"/>
      <c r="B21" s="257"/>
      <c r="C21" s="257"/>
      <c r="D21" s="295" t="s">
        <v>197</v>
      </c>
      <c r="E21" s="295" t="s">
        <v>200</v>
      </c>
      <c r="F21" s="295" t="s">
        <v>193</v>
      </c>
      <c r="G21" s="295" t="s">
        <v>205</v>
      </c>
      <c r="H21" s="295" t="s">
        <v>207</v>
      </c>
      <c r="I21" s="295" t="s">
        <v>182</v>
      </c>
      <c r="J21" s="296">
        <v>54545</v>
      </c>
      <c r="K21" s="297">
        <v>0.1000091667430562</v>
      </c>
      <c r="L21" s="296">
        <v>5455</v>
      </c>
      <c r="M21" s="296">
        <f t="shared" si="0"/>
        <v>5455</v>
      </c>
      <c r="N21" s="296">
        <f t="shared" si="1"/>
        <v>60000</v>
      </c>
      <c r="O21" s="297">
        <v>0.1000091667430562</v>
      </c>
    </row>
    <row r="22" spans="1:15" ht="30">
      <c r="A22" s="88"/>
      <c r="B22" s="257"/>
      <c r="C22" s="257"/>
      <c r="D22" s="295" t="s">
        <v>197</v>
      </c>
      <c r="E22" s="295" t="s">
        <v>201</v>
      </c>
      <c r="F22" s="295" t="s">
        <v>193</v>
      </c>
      <c r="G22" s="295" t="s">
        <v>205</v>
      </c>
      <c r="H22" s="295" t="s">
        <v>207</v>
      </c>
      <c r="I22" s="295" t="s">
        <v>182</v>
      </c>
      <c r="J22" s="296">
        <v>54545</v>
      </c>
      <c r="K22" s="297">
        <v>0.1000091667430562</v>
      </c>
      <c r="L22" s="296">
        <v>5455</v>
      </c>
      <c r="M22" s="296">
        <f t="shared" si="0"/>
        <v>5455</v>
      </c>
      <c r="N22" s="296">
        <f t="shared" si="1"/>
        <v>60000</v>
      </c>
      <c r="O22" s="297">
        <v>0.1000091667430562</v>
      </c>
    </row>
    <row r="23" spans="1:15" ht="30">
      <c r="A23" s="294"/>
      <c r="B23" s="295"/>
      <c r="C23" s="295"/>
      <c r="D23" s="295" t="s">
        <v>197</v>
      </c>
      <c r="E23" s="295" t="s">
        <v>202</v>
      </c>
      <c r="F23" s="295" t="s">
        <v>196</v>
      </c>
      <c r="G23" s="295" t="s">
        <v>205</v>
      </c>
      <c r="H23" s="295" t="s">
        <v>207</v>
      </c>
      <c r="I23" s="295" t="s">
        <v>182</v>
      </c>
      <c r="J23" s="296">
        <v>272727</v>
      </c>
      <c r="K23" s="297">
        <v>0.1000011000011</v>
      </c>
      <c r="L23" s="296">
        <v>27273</v>
      </c>
      <c r="M23" s="296">
        <f t="shared" si="0"/>
        <v>27273</v>
      </c>
      <c r="N23" s="296">
        <f>J23+L23</f>
        <v>300000</v>
      </c>
      <c r="O23" s="297">
        <v>0.1000011000011</v>
      </c>
    </row>
    <row r="24" spans="1:15">
      <c r="A24" s="294"/>
      <c r="B24" s="295"/>
      <c r="C24" s="295"/>
      <c r="D24" s="295" t="s">
        <v>181</v>
      </c>
      <c r="E24" s="295" t="s">
        <v>203</v>
      </c>
      <c r="F24" s="295" t="s">
        <v>204</v>
      </c>
      <c r="G24" s="295" t="s">
        <v>206</v>
      </c>
      <c r="H24" s="295" t="s">
        <v>208</v>
      </c>
      <c r="I24" s="295" t="s">
        <v>225</v>
      </c>
      <c r="J24" s="296">
        <v>200000</v>
      </c>
      <c r="K24" s="297">
        <v>0.08</v>
      </c>
      <c r="L24" s="296">
        <v>16000</v>
      </c>
      <c r="M24" s="296">
        <f t="shared" si="0"/>
        <v>16000</v>
      </c>
      <c r="N24" s="296">
        <f t="shared" ref="N24:N27" si="2">J24+L24</f>
        <v>216000</v>
      </c>
      <c r="O24" s="297">
        <v>0.08</v>
      </c>
    </row>
    <row r="25" spans="1:15" ht="30">
      <c r="A25" s="294"/>
      <c r="B25" s="295"/>
      <c r="C25" s="295"/>
      <c r="D25" s="295" t="s">
        <v>209</v>
      </c>
      <c r="E25" s="295" t="s">
        <v>210</v>
      </c>
      <c r="F25" s="295" t="s">
        <v>193</v>
      </c>
      <c r="G25" s="295" t="s">
        <v>216</v>
      </c>
      <c r="H25" s="295" t="s">
        <v>219</v>
      </c>
      <c r="I25" s="295" t="s">
        <v>224</v>
      </c>
      <c r="J25" s="296">
        <v>1329000</v>
      </c>
      <c r="K25" s="297">
        <v>6.5553047404063203E-2</v>
      </c>
      <c r="L25" s="296">
        <v>87120</v>
      </c>
      <c r="M25" s="296">
        <f t="shared" si="0"/>
        <v>87120</v>
      </c>
      <c r="N25" s="296">
        <f t="shared" si="2"/>
        <v>1416120</v>
      </c>
      <c r="O25" s="297">
        <v>6.5553047404063203E-2</v>
      </c>
    </row>
    <row r="26" spans="1:15">
      <c r="A26" s="294"/>
      <c r="B26" s="295"/>
      <c r="C26" s="295"/>
      <c r="D26" s="295" t="s">
        <v>211</v>
      </c>
      <c r="E26" s="295" t="s">
        <v>212</v>
      </c>
      <c r="F26" s="295" t="s">
        <v>213</v>
      </c>
      <c r="G26" s="295" t="s">
        <v>217</v>
      </c>
      <c r="H26" s="295" t="s">
        <v>220</v>
      </c>
      <c r="I26" s="295" t="s">
        <v>223</v>
      </c>
      <c r="J26" s="296">
        <v>14305556</v>
      </c>
      <c r="K26" s="297">
        <v>7.9999966446602983E-2</v>
      </c>
      <c r="L26" s="296">
        <v>1144444</v>
      </c>
      <c r="M26" s="296">
        <f t="shared" si="0"/>
        <v>1144444</v>
      </c>
      <c r="N26" s="296">
        <f>J26+L26</f>
        <v>15450000</v>
      </c>
      <c r="O26" s="297">
        <v>7.9999966446602983E-2</v>
      </c>
    </row>
    <row r="27" spans="1:15" ht="30">
      <c r="A27" s="294"/>
      <c r="B27" s="295"/>
      <c r="C27" s="295"/>
      <c r="D27" s="295" t="s">
        <v>214</v>
      </c>
      <c r="E27" s="295" t="s">
        <v>215</v>
      </c>
      <c r="F27" s="295" t="s">
        <v>189</v>
      </c>
      <c r="G27" s="295" t="s">
        <v>218</v>
      </c>
      <c r="H27" s="295" t="s">
        <v>221</v>
      </c>
      <c r="I27" s="295" t="s">
        <v>222</v>
      </c>
      <c r="J27" s="296">
        <v>13500000</v>
      </c>
      <c r="K27" s="297">
        <v>0.08</v>
      </c>
      <c r="L27" s="296">
        <v>1080000</v>
      </c>
      <c r="M27" s="296">
        <f t="shared" si="0"/>
        <v>1080000</v>
      </c>
      <c r="N27" s="296">
        <f t="shared" si="2"/>
        <v>14580000</v>
      </c>
      <c r="O27" s="297">
        <v>0.08</v>
      </c>
    </row>
    <row r="28" spans="1:15">
      <c r="A28" s="294"/>
      <c r="B28" s="295"/>
      <c r="C28" s="295"/>
      <c r="D28" s="295"/>
      <c r="E28" s="295"/>
      <c r="F28" s="295"/>
      <c r="G28" s="295"/>
      <c r="H28" s="295"/>
      <c r="I28" s="295"/>
      <c r="J28" s="296"/>
      <c r="K28" s="297"/>
      <c r="L28" s="296"/>
      <c r="M28" s="296"/>
      <c r="N28" s="296"/>
      <c r="O28" s="298"/>
    </row>
    <row r="29" spans="1:15">
      <c r="A29" s="294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295"/>
      <c r="N29" s="295"/>
      <c r="O29" s="257"/>
    </row>
    <row r="30" spans="1:15">
      <c r="A30" s="90"/>
      <c r="B30" s="337" t="s">
        <v>78</v>
      </c>
      <c r="C30" s="337"/>
      <c r="D30" s="337"/>
      <c r="E30" s="337"/>
      <c r="F30" s="337"/>
      <c r="G30" s="255"/>
      <c r="H30" s="255"/>
      <c r="I30" s="255"/>
      <c r="J30" s="256">
        <f>SUM(J16:J28)</f>
        <v>32937804</v>
      </c>
      <c r="K30" s="262"/>
      <c r="L30" s="256">
        <f>SUM(L16:L27)</f>
        <v>2679316</v>
      </c>
      <c r="M30" s="256">
        <f>SUM(M16:M28)</f>
        <v>2679316</v>
      </c>
      <c r="N30" s="256">
        <f>SUM(N16:N28)</f>
        <v>35617120</v>
      </c>
      <c r="O30" s="256"/>
    </row>
    <row r="31" spans="1:15">
      <c r="A31" s="91"/>
      <c r="B31" s="355" t="s">
        <v>79</v>
      </c>
      <c r="C31" s="356"/>
      <c r="D31" s="356"/>
      <c r="E31" s="356"/>
      <c r="F31" s="356"/>
      <c r="G31" s="356"/>
      <c r="H31" s="356"/>
      <c r="I31" s="356"/>
      <c r="J31" s="356"/>
      <c r="K31" s="356"/>
      <c r="L31" s="356"/>
      <c r="M31" s="356"/>
      <c r="N31" s="356"/>
      <c r="O31" s="357"/>
    </row>
    <row r="32" spans="1:15">
      <c r="A32" s="91"/>
      <c r="B32" s="92"/>
      <c r="C32" s="93"/>
      <c r="D32" s="92"/>
      <c r="E32" s="93"/>
      <c r="F32" s="93"/>
      <c r="G32" s="93"/>
      <c r="H32" s="93"/>
      <c r="I32" s="93"/>
      <c r="J32" s="94"/>
      <c r="K32" s="263"/>
      <c r="L32" s="224"/>
      <c r="M32" s="224"/>
      <c r="N32" s="94"/>
      <c r="O32" s="94"/>
    </row>
    <row r="33" spans="1:15">
      <c r="A33" s="95"/>
      <c r="B33" s="343" t="s">
        <v>78</v>
      </c>
      <c r="C33" s="344"/>
      <c r="D33" s="344"/>
      <c r="E33" s="344"/>
      <c r="F33" s="345"/>
      <c r="G33" s="96"/>
      <c r="H33" s="96"/>
      <c r="I33" s="96"/>
      <c r="J33" s="97"/>
      <c r="K33" s="264"/>
      <c r="L33" s="225"/>
      <c r="M33" s="289"/>
      <c r="N33" s="97"/>
      <c r="O33" s="97"/>
    </row>
    <row r="34" spans="1:15">
      <c r="A34" s="98"/>
      <c r="B34" s="346" t="s">
        <v>80</v>
      </c>
      <c r="C34" s="347"/>
      <c r="D34" s="347"/>
      <c r="E34" s="347"/>
      <c r="F34" s="347"/>
      <c r="G34" s="347"/>
      <c r="H34" s="347"/>
      <c r="I34" s="347"/>
      <c r="J34" s="347"/>
      <c r="K34" s="347"/>
      <c r="L34" s="347"/>
      <c r="M34" s="348"/>
      <c r="N34" s="347"/>
      <c r="O34" s="349"/>
    </row>
    <row r="35" spans="1:15">
      <c r="A35" s="98"/>
      <c r="B35" s="89"/>
      <c r="C35" s="89"/>
      <c r="D35" s="89"/>
      <c r="E35" s="278"/>
      <c r="F35" s="89"/>
      <c r="G35" s="89"/>
      <c r="H35" s="89"/>
      <c r="I35" s="89"/>
      <c r="J35" s="76"/>
      <c r="K35" s="265"/>
      <c r="L35" s="76"/>
      <c r="M35" s="290"/>
      <c r="N35" s="76"/>
      <c r="O35" s="246"/>
    </row>
    <row r="36" spans="1:15">
      <c r="A36" s="95"/>
      <c r="B36" s="350" t="s">
        <v>78</v>
      </c>
      <c r="C36" s="351"/>
      <c r="D36" s="351"/>
      <c r="E36" s="351"/>
      <c r="F36" s="352"/>
      <c r="G36" s="99"/>
      <c r="H36" s="99"/>
      <c r="I36" s="99"/>
      <c r="J36" s="76"/>
      <c r="K36" s="265"/>
      <c r="L36" s="76"/>
      <c r="M36" s="290"/>
      <c r="N36" s="73"/>
      <c r="O36" s="100"/>
    </row>
    <row r="37" spans="1:15">
      <c r="A37" s="98"/>
      <c r="B37" s="346" t="s">
        <v>81</v>
      </c>
      <c r="C37" s="347"/>
      <c r="D37" s="347"/>
      <c r="E37" s="347"/>
      <c r="F37" s="347"/>
      <c r="G37" s="347"/>
      <c r="H37" s="347"/>
      <c r="I37" s="347"/>
      <c r="J37" s="347"/>
      <c r="K37" s="347"/>
      <c r="L37" s="347"/>
      <c r="M37" s="348"/>
      <c r="N37" s="347"/>
      <c r="O37" s="349"/>
    </row>
    <row r="38" spans="1:15">
      <c r="A38" s="95"/>
      <c r="B38" s="102"/>
      <c r="C38" s="103"/>
      <c r="D38" s="102"/>
      <c r="E38" s="279"/>
      <c r="F38" s="104"/>
      <c r="G38" s="103"/>
      <c r="H38" s="89"/>
      <c r="I38" s="103"/>
      <c r="J38" s="105"/>
      <c r="K38" s="266"/>
      <c r="L38" s="226"/>
      <c r="M38" s="291"/>
      <c r="N38" s="105"/>
      <c r="O38" s="105"/>
    </row>
    <row r="39" spans="1:15">
      <c r="A39" s="95"/>
      <c r="B39" s="350" t="s">
        <v>78</v>
      </c>
      <c r="C39" s="351"/>
      <c r="D39" s="351"/>
      <c r="E39" s="352"/>
      <c r="F39" s="101"/>
      <c r="G39" s="99"/>
      <c r="H39" s="99"/>
      <c r="I39" s="99"/>
      <c r="J39" s="100"/>
      <c r="K39" s="267"/>
      <c r="L39" s="227"/>
      <c r="M39" s="292"/>
      <c r="N39" s="100"/>
      <c r="O39" s="100"/>
    </row>
    <row r="40" spans="1:15">
      <c r="A40" s="98"/>
      <c r="B40" s="346" t="s">
        <v>82</v>
      </c>
      <c r="C40" s="347"/>
      <c r="D40" s="347"/>
      <c r="E40" s="347"/>
      <c r="F40" s="347"/>
      <c r="G40" s="347"/>
      <c r="H40" s="347"/>
      <c r="I40" s="347"/>
      <c r="J40" s="106"/>
      <c r="K40" s="268"/>
      <c r="L40" s="228"/>
      <c r="M40" s="293"/>
      <c r="N40" s="106"/>
      <c r="O40" s="247"/>
    </row>
    <row r="41" spans="1:15">
      <c r="A41" s="77"/>
      <c r="B41" s="102"/>
      <c r="C41" s="103"/>
      <c r="D41" s="102"/>
      <c r="E41" s="279"/>
      <c r="F41" s="104"/>
      <c r="G41" s="103"/>
      <c r="H41" s="89"/>
      <c r="I41" s="103"/>
      <c r="J41" s="105"/>
      <c r="K41" s="266"/>
      <c r="L41" s="226"/>
      <c r="M41" s="291"/>
      <c r="N41" s="105"/>
      <c r="O41" s="105"/>
    </row>
    <row r="42" spans="1:15">
      <c r="A42" s="95"/>
      <c r="B42" s="350" t="s">
        <v>78</v>
      </c>
      <c r="C42" s="351"/>
      <c r="D42" s="351"/>
      <c r="E42" s="351"/>
      <c r="F42" s="352"/>
      <c r="G42" s="99"/>
      <c r="H42" s="99"/>
      <c r="I42" s="99"/>
      <c r="J42" s="100"/>
      <c r="K42" s="267"/>
      <c r="L42" s="227"/>
      <c r="M42" s="292"/>
      <c r="N42" s="100"/>
      <c r="O42" s="100"/>
    </row>
    <row r="43" spans="1:15">
      <c r="A43" s="77"/>
      <c r="B43" s="78"/>
      <c r="C43" s="107"/>
      <c r="D43" s="69"/>
      <c r="E43" s="275"/>
      <c r="F43" s="69"/>
      <c r="G43" s="79"/>
      <c r="H43" s="79"/>
      <c r="I43" s="79"/>
      <c r="J43" s="77"/>
      <c r="K43" s="258"/>
      <c r="L43" s="221"/>
      <c r="M43" s="221"/>
      <c r="N43" s="77"/>
      <c r="O43" s="243"/>
    </row>
    <row r="44" spans="1:15">
      <c r="A44" s="95"/>
      <c r="B44" s="108" t="s">
        <v>83</v>
      </c>
      <c r="C44" s="95"/>
      <c r="D44" s="126"/>
      <c r="E44" s="280"/>
      <c r="F44" s="110"/>
      <c r="G44" s="109"/>
      <c r="H44" s="110"/>
      <c r="I44" s="109"/>
      <c r="J44" s="111">
        <f>J30</f>
        <v>32937804</v>
      </c>
      <c r="K44" s="269" t="s">
        <v>34</v>
      </c>
      <c r="L44" s="229"/>
      <c r="M44" s="229"/>
      <c r="N44" s="98"/>
      <c r="O44" s="248"/>
    </row>
    <row r="45" spans="1:15">
      <c r="A45" s="95"/>
      <c r="B45" s="108" t="s">
        <v>84</v>
      </c>
      <c r="C45" s="95"/>
      <c r="D45" s="126"/>
      <c r="E45" s="280"/>
      <c r="F45" s="110"/>
      <c r="G45" s="109"/>
      <c r="H45" s="110"/>
      <c r="I45" s="109"/>
      <c r="J45" s="111">
        <f>M30</f>
        <v>2679316</v>
      </c>
      <c r="K45" s="269" t="s">
        <v>34</v>
      </c>
      <c r="L45" s="229"/>
      <c r="M45" s="229"/>
      <c r="N45" s="98"/>
      <c r="O45" s="248"/>
    </row>
    <row r="46" spans="1:15">
      <c r="A46" s="77"/>
      <c r="B46" s="78"/>
      <c r="C46" s="77"/>
      <c r="D46" s="69"/>
      <c r="E46" s="281"/>
      <c r="F46" s="112"/>
      <c r="G46" s="79"/>
      <c r="H46" s="112"/>
      <c r="I46" s="79"/>
      <c r="J46" s="83"/>
      <c r="K46" s="258"/>
      <c r="L46" s="230"/>
      <c r="M46" s="230"/>
      <c r="N46" s="83"/>
      <c r="O46" s="249"/>
    </row>
    <row r="47" spans="1:15">
      <c r="A47" s="77"/>
      <c r="B47" s="78" t="s">
        <v>37</v>
      </c>
      <c r="C47" s="77"/>
      <c r="D47" s="78"/>
      <c r="E47" s="281"/>
      <c r="F47" s="84"/>
      <c r="G47" s="77"/>
      <c r="H47" s="112"/>
      <c r="I47" s="77"/>
      <c r="J47" s="83"/>
      <c r="K47" s="258"/>
      <c r="L47" s="230"/>
      <c r="M47" s="230"/>
      <c r="N47" s="83"/>
      <c r="O47" s="249"/>
    </row>
    <row r="48" spans="1:15">
      <c r="A48" s="77"/>
      <c r="B48" s="78"/>
      <c r="C48" s="88"/>
      <c r="D48" s="69"/>
      <c r="E48" s="281"/>
      <c r="F48" s="112"/>
      <c r="G48" s="79"/>
      <c r="H48" s="112"/>
      <c r="I48" s="79"/>
      <c r="J48" s="354" t="s">
        <v>169</v>
      </c>
      <c r="K48" s="354"/>
      <c r="L48" s="354"/>
      <c r="M48" s="354"/>
      <c r="N48" s="354"/>
      <c r="O48" s="354"/>
    </row>
    <row r="49" spans="1:15">
      <c r="A49" s="77"/>
      <c r="B49" s="108" t="s">
        <v>38</v>
      </c>
      <c r="C49" s="77"/>
      <c r="D49" s="69"/>
      <c r="E49" s="281"/>
      <c r="F49" s="112"/>
      <c r="G49" s="79"/>
      <c r="H49" s="112"/>
      <c r="I49" s="79"/>
      <c r="J49" s="353" t="s">
        <v>40</v>
      </c>
      <c r="K49" s="353"/>
      <c r="L49" s="353"/>
      <c r="M49" s="353"/>
      <c r="N49" s="353"/>
      <c r="O49" s="353"/>
    </row>
    <row r="50" spans="1:15">
      <c r="A50" s="77"/>
      <c r="B50" s="78" t="s">
        <v>39</v>
      </c>
      <c r="C50" s="77"/>
      <c r="D50" s="69"/>
      <c r="E50" s="281"/>
      <c r="F50" s="112"/>
      <c r="G50" s="79"/>
      <c r="H50" s="112"/>
      <c r="I50" s="79"/>
      <c r="J50" s="353" t="s">
        <v>42</v>
      </c>
      <c r="K50" s="353"/>
      <c r="L50" s="353"/>
      <c r="M50" s="353"/>
      <c r="N50" s="353"/>
      <c r="O50" s="353"/>
    </row>
    <row r="51" spans="1:15">
      <c r="A51" s="77"/>
      <c r="B51" s="78" t="s">
        <v>41</v>
      </c>
      <c r="C51" s="77"/>
      <c r="D51" s="69"/>
      <c r="E51" s="281"/>
      <c r="F51" s="112"/>
      <c r="G51" s="79"/>
      <c r="H51" s="112"/>
      <c r="I51" s="79"/>
      <c r="J51" s="354" t="s">
        <v>43</v>
      </c>
      <c r="K51" s="354"/>
      <c r="L51" s="354"/>
      <c r="M51" s="354"/>
      <c r="N51" s="354"/>
      <c r="O51" s="354"/>
    </row>
    <row r="52" spans="1:15">
      <c r="A52" s="77"/>
      <c r="B52" s="78"/>
      <c r="C52" s="77"/>
      <c r="D52" s="69"/>
      <c r="E52" s="281"/>
      <c r="F52" s="112"/>
      <c r="G52" s="79"/>
      <c r="H52" s="112"/>
      <c r="I52" s="79"/>
      <c r="J52" s="83"/>
      <c r="K52" s="258"/>
      <c r="L52" s="230"/>
      <c r="M52" s="230"/>
      <c r="N52" s="83"/>
      <c r="O52" s="249"/>
    </row>
    <row r="53" spans="1:15">
      <c r="A53" s="77"/>
      <c r="B53" s="78"/>
      <c r="C53" s="77"/>
      <c r="D53" s="69"/>
      <c r="E53" s="281"/>
      <c r="F53" s="112"/>
      <c r="G53" s="79"/>
      <c r="H53" s="112"/>
      <c r="I53" s="79"/>
      <c r="J53" s="83"/>
      <c r="K53" s="258"/>
      <c r="L53" s="230"/>
      <c r="M53" s="230"/>
      <c r="N53" s="83"/>
      <c r="O53" s="249"/>
    </row>
    <row r="54" spans="1:15">
      <c r="A54" s="77"/>
      <c r="B54" s="78"/>
      <c r="C54" s="77"/>
      <c r="D54" s="69"/>
      <c r="E54" s="281"/>
      <c r="F54" s="112"/>
      <c r="G54" s="79"/>
      <c r="H54" s="112"/>
      <c r="I54" s="111"/>
      <c r="J54" s="83"/>
      <c r="K54" s="258"/>
      <c r="L54" s="230"/>
      <c r="M54" s="230"/>
      <c r="N54" s="83"/>
      <c r="O54" s="249"/>
    </row>
    <row r="55" spans="1:15">
      <c r="A55" s="77"/>
      <c r="B55" s="78"/>
      <c r="C55" s="77"/>
      <c r="D55" s="69"/>
      <c r="E55" s="281"/>
      <c r="F55" s="112"/>
      <c r="G55" s="79"/>
      <c r="H55" s="112"/>
      <c r="I55" s="111"/>
      <c r="J55" s="83"/>
      <c r="K55" s="258"/>
      <c r="L55" s="230"/>
      <c r="M55" s="230"/>
      <c r="N55" s="83"/>
      <c r="O55" s="249"/>
    </row>
    <row r="56" spans="1:15">
      <c r="A56" s="77"/>
      <c r="B56" s="78"/>
      <c r="C56" s="77"/>
      <c r="D56" s="69"/>
      <c r="E56" s="281"/>
      <c r="F56" s="112"/>
      <c r="G56" s="79"/>
      <c r="H56" s="112"/>
      <c r="I56" s="79"/>
      <c r="J56" s="342"/>
      <c r="K56" s="342"/>
      <c r="L56" s="342"/>
      <c r="M56" s="342"/>
      <c r="N56" s="342"/>
      <c r="O56" s="342"/>
    </row>
    <row r="57" spans="1:15">
      <c r="A57" s="88"/>
      <c r="B57" s="113" t="s">
        <v>85</v>
      </c>
      <c r="C57" s="88"/>
      <c r="D57" s="127"/>
      <c r="E57" s="282"/>
      <c r="F57" s="114"/>
      <c r="G57" s="88"/>
      <c r="H57" s="124"/>
      <c r="I57" s="88"/>
      <c r="J57" s="115"/>
      <c r="K57" s="270"/>
      <c r="L57" s="231"/>
      <c r="M57" s="231"/>
      <c r="N57" s="115"/>
      <c r="O57" s="250"/>
    </row>
    <row r="58" spans="1:15">
      <c r="A58" s="88"/>
      <c r="B58" s="116" t="s">
        <v>45</v>
      </c>
      <c r="C58" s="117"/>
      <c r="D58" s="127"/>
      <c r="E58" s="282"/>
      <c r="F58" s="114"/>
      <c r="G58" s="88"/>
      <c r="H58" s="124"/>
      <c r="I58" s="88"/>
      <c r="J58" s="115"/>
      <c r="K58" s="270"/>
      <c r="L58" s="231"/>
      <c r="M58" s="231"/>
      <c r="N58" s="115"/>
      <c r="O58" s="250"/>
    </row>
    <row r="59" spans="1:15">
      <c r="A59" s="88"/>
      <c r="B59" s="116" t="s">
        <v>46</v>
      </c>
      <c r="C59" s="117"/>
      <c r="D59" s="127"/>
      <c r="E59" s="282"/>
      <c r="F59" s="114"/>
      <c r="G59" s="88"/>
      <c r="H59" s="124"/>
      <c r="I59" s="88"/>
      <c r="J59" s="118"/>
      <c r="K59" s="271"/>
      <c r="L59" s="232"/>
      <c r="M59" s="232"/>
      <c r="N59" s="118"/>
      <c r="O59" s="251"/>
    </row>
    <row r="60" spans="1:15">
      <c r="A60" s="88"/>
      <c r="B60" s="119" t="s">
        <v>86</v>
      </c>
      <c r="C60" s="88"/>
      <c r="D60" s="127"/>
      <c r="E60" s="282"/>
      <c r="F60" s="114"/>
      <c r="G60" s="88"/>
      <c r="H60" s="124"/>
      <c r="I60" s="88"/>
      <c r="J60" s="115"/>
      <c r="K60" s="270"/>
      <c r="L60" s="231"/>
      <c r="M60" s="231"/>
      <c r="N60" s="115"/>
      <c r="O60" s="250"/>
    </row>
    <row r="61" spans="1:15">
      <c r="A61" s="88"/>
      <c r="B61" s="120" t="s">
        <v>87</v>
      </c>
      <c r="C61" s="88"/>
      <c r="D61" s="127"/>
      <c r="E61" s="282"/>
      <c r="F61" s="114"/>
      <c r="G61" s="88"/>
      <c r="H61" s="124"/>
      <c r="I61" s="88"/>
      <c r="J61" s="115"/>
      <c r="K61" s="270"/>
      <c r="L61" s="231"/>
      <c r="M61" s="231"/>
      <c r="N61" s="115"/>
      <c r="O61" s="250"/>
    </row>
    <row r="62" spans="1:15">
      <c r="A62" s="75"/>
      <c r="B62" s="75"/>
      <c r="C62" s="75"/>
      <c r="D62" s="75"/>
      <c r="E62" s="283"/>
      <c r="F62" s="75"/>
      <c r="G62" s="75"/>
      <c r="H62" s="75"/>
      <c r="I62" s="75"/>
      <c r="J62" s="75"/>
      <c r="K62" s="272"/>
      <c r="L62" s="233"/>
      <c r="M62" s="233"/>
      <c r="N62" s="75"/>
      <c r="O62" s="252"/>
    </row>
  </sheetData>
  <mergeCells count="31">
    <mergeCell ref="B10:O10"/>
    <mergeCell ref="N11:N13"/>
    <mergeCell ref="C11:F12"/>
    <mergeCell ref="L11:L13"/>
    <mergeCell ref="O11:O13"/>
    <mergeCell ref="K11:K13"/>
    <mergeCell ref="G11:G13"/>
    <mergeCell ref="H11:H13"/>
    <mergeCell ref="I11:I13"/>
    <mergeCell ref="J11:J13"/>
    <mergeCell ref="B3:G3"/>
    <mergeCell ref="B4:G4"/>
    <mergeCell ref="F6:O6"/>
    <mergeCell ref="F7:O7"/>
    <mergeCell ref="B8:O8"/>
    <mergeCell ref="B30:F30"/>
    <mergeCell ref="B11:B13"/>
    <mergeCell ref="B15:O15"/>
    <mergeCell ref="J56:O56"/>
    <mergeCell ref="B33:F33"/>
    <mergeCell ref="B34:O34"/>
    <mergeCell ref="B36:F36"/>
    <mergeCell ref="B37:O37"/>
    <mergeCell ref="B39:E39"/>
    <mergeCell ref="J50:O50"/>
    <mergeCell ref="J51:O51"/>
    <mergeCell ref="J49:O49"/>
    <mergeCell ref="B42:F42"/>
    <mergeCell ref="J48:O48"/>
    <mergeCell ref="B40:I40"/>
    <mergeCell ref="B31:O31"/>
  </mergeCells>
  <phoneticPr fontId="2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0"/>
  <sheetViews>
    <sheetView topLeftCell="A18" zoomScale="70" zoomScaleNormal="70" workbookViewId="0">
      <selection activeCell="H16" sqref="H16"/>
    </sheetView>
  </sheetViews>
  <sheetFormatPr defaultRowHeight="15"/>
  <cols>
    <col min="1" max="1" width="5.7109375" customWidth="1"/>
    <col min="2" max="2" width="5.42578125" style="130" customWidth="1"/>
    <col min="3" max="3" width="8.7109375" customWidth="1"/>
    <col min="4" max="4" width="10.7109375" customWidth="1"/>
    <col min="5" max="5" width="12.85546875" bestFit="1" customWidth="1"/>
    <col min="6" max="6" width="10.28515625" style="237" bestFit="1" customWidth="1"/>
    <col min="7" max="7" width="57.42578125" customWidth="1"/>
    <col min="8" max="8" width="20.28515625" bestFit="1" customWidth="1"/>
    <col min="9" max="9" width="41.7109375" customWidth="1"/>
    <col min="10" max="10" width="20.28515625" customWidth="1"/>
    <col min="11" max="11" width="14" bestFit="1" customWidth="1"/>
    <col min="12" max="12" width="15.7109375" bestFit="1" customWidth="1"/>
    <col min="13" max="13" width="14.7109375" customWidth="1"/>
  </cols>
  <sheetData>
    <row r="1" spans="1:13">
      <c r="A1" s="1"/>
      <c r="B1" s="2"/>
      <c r="C1" s="1"/>
      <c r="D1" s="1"/>
      <c r="E1" s="60"/>
      <c r="F1" s="3"/>
      <c r="G1" s="4"/>
      <c r="H1" s="68"/>
      <c r="I1" s="1"/>
      <c r="J1" s="5"/>
      <c r="K1" s="6"/>
      <c r="L1" s="6"/>
      <c r="M1" s="1"/>
    </row>
    <row r="2" spans="1:13">
      <c r="A2" s="1"/>
      <c r="B2" s="215" t="s">
        <v>174</v>
      </c>
      <c r="C2" s="129"/>
      <c r="D2" s="129"/>
      <c r="E2" s="129"/>
      <c r="F2" s="235"/>
      <c r="G2" s="129"/>
      <c r="H2" s="68"/>
      <c r="I2" s="1"/>
      <c r="J2" s="5"/>
      <c r="K2" s="6"/>
      <c r="L2" s="6"/>
      <c r="M2" s="1"/>
    </row>
    <row r="3" spans="1:13">
      <c r="A3" s="1"/>
      <c r="B3" s="358" t="s">
        <v>175</v>
      </c>
      <c r="C3" s="358"/>
      <c r="D3" s="358"/>
      <c r="E3" s="358"/>
      <c r="F3" s="358"/>
      <c r="G3" s="358"/>
      <c r="H3" s="68"/>
      <c r="I3" s="1"/>
      <c r="J3" s="5"/>
      <c r="K3" s="6"/>
      <c r="L3" s="6"/>
      <c r="M3" s="1"/>
    </row>
    <row r="4" spans="1:13">
      <c r="A4" s="1"/>
      <c r="B4" s="369" t="s">
        <v>0</v>
      </c>
      <c r="C4" s="369"/>
      <c r="D4" s="369"/>
      <c r="E4" s="369"/>
      <c r="F4" s="369"/>
      <c r="G4" s="369"/>
      <c r="H4" s="68"/>
      <c r="I4" s="1"/>
      <c r="J4" s="5"/>
      <c r="K4" s="6"/>
      <c r="L4" s="6"/>
      <c r="M4" s="1"/>
    </row>
    <row r="5" spans="1:13">
      <c r="A5" s="7"/>
      <c r="B5" s="8"/>
      <c r="C5" s="9"/>
      <c r="D5" s="9"/>
      <c r="E5" s="61"/>
      <c r="F5" s="10"/>
      <c r="G5" s="4"/>
      <c r="H5" s="69"/>
      <c r="I5" s="7"/>
      <c r="J5" s="11"/>
      <c r="K5" s="12"/>
      <c r="L5" s="12"/>
      <c r="M5" s="7"/>
    </row>
    <row r="6" spans="1:13" ht="14.65" customHeight="1">
      <c r="A6" s="4"/>
      <c r="B6" s="370" t="s">
        <v>1</v>
      </c>
      <c r="C6" s="370"/>
      <c r="D6" s="370"/>
      <c r="E6" s="370"/>
      <c r="F6" s="370"/>
      <c r="G6" s="370"/>
      <c r="H6" s="370"/>
      <c r="I6" s="370"/>
      <c r="J6" s="370"/>
      <c r="K6" s="370"/>
      <c r="L6" s="370"/>
      <c r="M6" s="370"/>
    </row>
    <row r="7" spans="1:13" ht="14.65" customHeight="1">
      <c r="A7" s="4"/>
      <c r="B7" s="370" t="s">
        <v>173</v>
      </c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</row>
    <row r="8" spans="1:13" ht="30">
      <c r="A8" s="4"/>
      <c r="B8" s="13"/>
      <c r="C8" s="216"/>
      <c r="D8" s="216"/>
      <c r="E8" s="62"/>
      <c r="F8" s="14"/>
      <c r="G8" s="15"/>
      <c r="H8" s="62"/>
      <c r="I8" s="216"/>
      <c r="J8" s="13"/>
      <c r="K8" s="16"/>
      <c r="L8" s="16"/>
      <c r="M8" s="17" t="s">
        <v>2</v>
      </c>
    </row>
    <row r="9" spans="1:13" ht="14.65" customHeight="1">
      <c r="A9" s="18"/>
      <c r="B9" s="371" t="s">
        <v>3</v>
      </c>
      <c r="C9" s="373" t="s">
        <v>4</v>
      </c>
      <c r="D9" s="374"/>
      <c r="E9" s="374"/>
      <c r="F9" s="375"/>
      <c r="G9" s="371" t="s">
        <v>5</v>
      </c>
      <c r="H9" s="376" t="s">
        <v>6</v>
      </c>
      <c r="I9" s="371" t="s">
        <v>7</v>
      </c>
      <c r="J9" s="371" t="s">
        <v>8</v>
      </c>
      <c r="K9" s="371" t="s">
        <v>9</v>
      </c>
      <c r="L9" s="371" t="s">
        <v>10</v>
      </c>
      <c r="M9" s="371" t="s">
        <v>11</v>
      </c>
    </row>
    <row r="10" spans="1:13" ht="57">
      <c r="A10" s="4"/>
      <c r="B10" s="372"/>
      <c r="C10" s="56" t="s">
        <v>12</v>
      </c>
      <c r="D10" s="56" t="s">
        <v>171</v>
      </c>
      <c r="E10" s="63" t="s">
        <v>13</v>
      </c>
      <c r="F10" s="57" t="s">
        <v>14</v>
      </c>
      <c r="G10" s="372"/>
      <c r="H10" s="377"/>
      <c r="I10" s="372"/>
      <c r="J10" s="372"/>
      <c r="K10" s="372"/>
      <c r="L10" s="372"/>
      <c r="M10" s="372"/>
    </row>
    <row r="11" spans="1:13">
      <c r="A11" s="7"/>
      <c r="B11" s="19" t="s">
        <v>16</v>
      </c>
      <c r="C11" s="20" t="s">
        <v>17</v>
      </c>
      <c r="D11" s="19"/>
      <c r="E11" s="64" t="s">
        <v>18</v>
      </c>
      <c r="F11" s="21" t="s">
        <v>19</v>
      </c>
      <c r="G11" s="20" t="s">
        <v>20</v>
      </c>
      <c r="H11" s="64" t="s">
        <v>21</v>
      </c>
      <c r="I11" s="20" t="s">
        <v>22</v>
      </c>
      <c r="J11" s="20" t="s">
        <v>23</v>
      </c>
      <c r="K11" s="20" t="s">
        <v>24</v>
      </c>
      <c r="L11" s="20"/>
      <c r="M11" s="20" t="s">
        <v>25</v>
      </c>
    </row>
    <row r="12" spans="1:13" ht="14.65" customHeight="1">
      <c r="A12" s="7"/>
      <c r="B12" s="393" t="s">
        <v>26</v>
      </c>
      <c r="C12" s="394"/>
      <c r="D12" s="394"/>
      <c r="E12" s="394"/>
      <c r="F12" s="394"/>
      <c r="G12" s="394"/>
      <c r="H12" s="394"/>
      <c r="I12" s="394"/>
      <c r="J12" s="394"/>
      <c r="K12" s="394"/>
      <c r="L12" s="394"/>
      <c r="M12" s="395"/>
    </row>
    <row r="13" spans="1:13">
      <c r="A13" s="7"/>
      <c r="B13" s="20"/>
      <c r="C13" s="22"/>
      <c r="D13" s="22"/>
      <c r="E13" s="65"/>
      <c r="F13" s="23"/>
      <c r="G13" s="22" t="s">
        <v>27</v>
      </c>
      <c r="H13" s="70" t="s">
        <v>27</v>
      </c>
      <c r="I13" s="24"/>
      <c r="J13" s="25"/>
      <c r="K13" s="25"/>
      <c r="L13" s="25"/>
      <c r="M13" s="22" t="s">
        <v>27</v>
      </c>
    </row>
    <row r="14" spans="1:13">
      <c r="A14" s="7"/>
      <c r="B14" s="396" t="s">
        <v>28</v>
      </c>
      <c r="C14" s="397"/>
      <c r="D14" s="397"/>
      <c r="E14" s="397"/>
      <c r="F14" s="397"/>
      <c r="G14" s="397"/>
      <c r="H14" s="398"/>
      <c r="I14" s="26"/>
      <c r="J14" s="25"/>
      <c r="K14" s="25"/>
      <c r="L14" s="25"/>
      <c r="M14" s="22"/>
    </row>
    <row r="15" spans="1:13" ht="14.65" customHeight="1">
      <c r="A15" s="7"/>
      <c r="B15" s="399" t="s">
        <v>29</v>
      </c>
      <c r="C15" s="400"/>
      <c r="D15" s="400"/>
      <c r="E15" s="400"/>
      <c r="F15" s="400"/>
      <c r="G15" s="400"/>
      <c r="H15" s="400"/>
      <c r="I15" s="400"/>
      <c r="J15" s="400"/>
      <c r="K15" s="400"/>
      <c r="L15" s="400"/>
      <c r="M15" s="401"/>
    </row>
    <row r="16" spans="1:13">
      <c r="A16" s="7"/>
      <c r="B16" s="27"/>
      <c r="C16" s="76"/>
      <c r="D16" s="76"/>
      <c r="E16" s="66"/>
      <c r="F16" s="28"/>
      <c r="G16" s="76"/>
      <c r="H16" s="239"/>
      <c r="I16" s="76"/>
      <c r="J16" s="29"/>
      <c r="K16" s="29"/>
      <c r="L16" s="29"/>
      <c r="M16" s="58"/>
    </row>
    <row r="17" spans="1:13">
      <c r="A17" s="30"/>
      <c r="B17" s="402" t="s">
        <v>28</v>
      </c>
      <c r="C17" s="403"/>
      <c r="D17" s="403"/>
      <c r="E17" s="403"/>
      <c r="F17" s="403"/>
      <c r="G17" s="403"/>
      <c r="H17" s="403"/>
      <c r="I17" s="73"/>
      <c r="J17" s="74"/>
      <c r="K17" s="74"/>
      <c r="L17" s="74">
        <f>SUM(L16)</f>
        <v>0</v>
      </c>
      <c r="M17" s="73"/>
    </row>
    <row r="18" spans="1:13" ht="14.65" customHeight="1">
      <c r="A18" s="7"/>
      <c r="B18" s="404" t="s">
        <v>30</v>
      </c>
      <c r="C18" s="405"/>
      <c r="D18" s="405"/>
      <c r="E18" s="405"/>
      <c r="F18" s="405"/>
      <c r="G18" s="405"/>
      <c r="H18" s="405"/>
      <c r="I18" s="405"/>
      <c r="J18" s="405"/>
      <c r="K18" s="405"/>
      <c r="L18" s="405"/>
      <c r="M18" s="406"/>
    </row>
    <row r="19" spans="1:13">
      <c r="A19" s="7"/>
      <c r="B19" s="20"/>
      <c r="C19" s="22"/>
      <c r="D19" s="22"/>
      <c r="E19" s="67"/>
      <c r="F19" s="23"/>
      <c r="G19" s="22"/>
      <c r="H19" s="64"/>
      <c r="I19" s="22"/>
      <c r="J19" s="25"/>
      <c r="K19" s="25"/>
      <c r="L19" s="25"/>
      <c r="M19" s="22"/>
    </row>
    <row r="20" spans="1:13">
      <c r="A20" s="7"/>
      <c r="B20" s="407" t="s">
        <v>28</v>
      </c>
      <c r="C20" s="408"/>
      <c r="D20" s="408"/>
      <c r="E20" s="408"/>
      <c r="F20" s="408"/>
      <c r="G20" s="408"/>
      <c r="H20" s="409"/>
      <c r="I20" s="218"/>
      <c r="J20" s="219"/>
      <c r="K20" s="220"/>
      <c r="L20" s="220"/>
      <c r="M20" s="24"/>
    </row>
    <row r="21" spans="1:13" ht="14.65" customHeight="1">
      <c r="A21" s="7"/>
      <c r="B21" s="410" t="s">
        <v>31</v>
      </c>
      <c r="C21" s="411"/>
      <c r="D21" s="411"/>
      <c r="E21" s="411"/>
      <c r="F21" s="411"/>
      <c r="G21" s="411"/>
      <c r="H21" s="411"/>
      <c r="I21" s="411"/>
      <c r="J21" s="411"/>
      <c r="K21" s="411"/>
      <c r="L21" s="411"/>
      <c r="M21" s="412"/>
    </row>
    <row r="22" spans="1:13" ht="14.65" customHeight="1">
      <c r="A22" s="7"/>
      <c r="B22" s="241">
        <v>1</v>
      </c>
      <c r="C22" s="76"/>
      <c r="D22" s="76"/>
      <c r="E22" s="238"/>
      <c r="F22" s="236"/>
      <c r="G22" s="76"/>
      <c r="H22" s="238"/>
      <c r="I22" s="76"/>
      <c r="J22" s="76"/>
      <c r="K22" s="273"/>
      <c r="L22" s="76">
        <f>J22+K22</f>
        <v>0</v>
      </c>
      <c r="M22" s="240"/>
    </row>
    <row r="23" spans="1:13">
      <c r="A23" s="7"/>
      <c r="B23" s="242">
        <v>2</v>
      </c>
      <c r="C23" s="76"/>
      <c r="D23" s="76"/>
      <c r="E23" s="238"/>
      <c r="F23" s="236"/>
      <c r="G23" s="76"/>
      <c r="H23" s="238"/>
      <c r="I23" s="76"/>
      <c r="J23" s="76"/>
      <c r="K23" s="76"/>
      <c r="L23" s="76">
        <f>J23+K23</f>
        <v>0</v>
      </c>
      <c r="M23" s="76"/>
    </row>
    <row r="24" spans="1:13">
      <c r="A24" s="7"/>
      <c r="B24" s="413" t="s">
        <v>15</v>
      </c>
      <c r="C24" s="414"/>
      <c r="D24" s="414"/>
      <c r="E24" s="414"/>
      <c r="F24" s="414"/>
      <c r="G24" s="414"/>
      <c r="H24" s="415"/>
      <c r="I24" s="73"/>
      <c r="J24" s="74">
        <f>SUM(J22:J23)</f>
        <v>0</v>
      </c>
      <c r="K24" s="74">
        <f>SUM(K22:K23)</f>
        <v>0</v>
      </c>
      <c r="L24" s="74">
        <f>SUM(L22:L23)</f>
        <v>0</v>
      </c>
      <c r="M24" s="76"/>
    </row>
    <row r="25" spans="1:13">
      <c r="A25" s="9"/>
      <c r="B25" s="390" t="s">
        <v>32</v>
      </c>
      <c r="C25" s="391"/>
      <c r="D25" s="391"/>
      <c r="E25" s="391"/>
      <c r="F25" s="391"/>
      <c r="G25" s="391"/>
      <c r="H25" s="391"/>
      <c r="I25" s="391"/>
      <c r="J25" s="391"/>
      <c r="K25" s="391"/>
      <c r="L25" s="391"/>
      <c r="M25" s="392"/>
    </row>
    <row r="26" spans="1:13">
      <c r="A26" s="9"/>
      <c r="B26" s="31"/>
      <c r="C26" s="32"/>
      <c r="D26" s="32"/>
      <c r="E26" s="122"/>
      <c r="F26" s="33"/>
      <c r="G26" s="34"/>
      <c r="H26" s="122"/>
      <c r="I26" s="35"/>
      <c r="J26" s="36"/>
      <c r="K26" s="37"/>
      <c r="L26" s="76"/>
      <c r="M26" s="71"/>
    </row>
    <row r="27" spans="1:13">
      <c r="A27" s="9"/>
      <c r="B27" s="385" t="s">
        <v>28</v>
      </c>
      <c r="C27" s="386"/>
      <c r="D27" s="386"/>
      <c r="E27" s="386"/>
      <c r="F27" s="386"/>
      <c r="G27" s="386"/>
      <c r="H27" s="387"/>
      <c r="I27" s="38"/>
      <c r="J27" s="39"/>
      <c r="K27" s="40"/>
      <c r="L27" s="72"/>
      <c r="M27" s="71"/>
    </row>
    <row r="28" spans="1:13">
      <c r="A28" s="7"/>
      <c r="B28" s="2"/>
      <c r="C28" s="1"/>
      <c r="D28" s="1"/>
      <c r="E28" s="60"/>
      <c r="F28" s="3"/>
      <c r="G28" s="4"/>
      <c r="H28" s="68"/>
      <c r="I28" s="1"/>
      <c r="J28" s="5"/>
      <c r="K28" s="6"/>
      <c r="L28" s="6"/>
      <c r="M28" s="1"/>
    </row>
    <row r="29" spans="1:13">
      <c r="A29" s="41"/>
      <c r="B29" s="388" t="s">
        <v>33</v>
      </c>
      <c r="C29" s="388"/>
      <c r="D29" s="388"/>
      <c r="E29" s="388"/>
      <c r="F29" s="388"/>
      <c r="G29" s="388"/>
      <c r="H29" s="388"/>
      <c r="I29" s="388"/>
      <c r="J29" s="42">
        <f>+L24</f>
        <v>0</v>
      </c>
      <c r="K29" s="43" t="s">
        <v>34</v>
      </c>
      <c r="L29" s="43"/>
      <c r="M29" s="41"/>
    </row>
    <row r="30" spans="1:13">
      <c r="A30" s="41"/>
      <c r="B30" s="388" t="s">
        <v>35</v>
      </c>
      <c r="C30" s="388"/>
      <c r="D30" s="388"/>
      <c r="E30" s="388"/>
      <c r="F30" s="388"/>
      <c r="G30" s="388"/>
      <c r="H30" s="388"/>
      <c r="I30" s="388"/>
      <c r="J30" s="42">
        <f>+J24</f>
        <v>0</v>
      </c>
      <c r="K30" s="43" t="s">
        <v>34</v>
      </c>
      <c r="L30" s="43"/>
      <c r="M30" s="41"/>
    </row>
    <row r="31" spans="1:13">
      <c r="A31" s="41"/>
      <c r="B31" s="388" t="s">
        <v>36</v>
      </c>
      <c r="C31" s="388"/>
      <c r="D31" s="388"/>
      <c r="E31" s="388"/>
      <c r="F31" s="388"/>
      <c r="G31" s="388"/>
      <c r="H31" s="388"/>
      <c r="I31" s="388"/>
      <c r="J31" s="42">
        <f>+K24</f>
        <v>0</v>
      </c>
      <c r="K31" s="43" t="s">
        <v>34</v>
      </c>
      <c r="L31" s="43"/>
      <c r="M31" s="41"/>
    </row>
    <row r="32" spans="1:13">
      <c r="A32" s="44"/>
      <c r="B32" s="45"/>
      <c r="C32" s="217"/>
      <c r="D32" s="44"/>
      <c r="E32" s="79"/>
      <c r="F32" s="46"/>
      <c r="G32" s="44"/>
      <c r="H32" s="112"/>
      <c r="I32" s="47"/>
      <c r="J32" s="48"/>
      <c r="K32" s="49"/>
      <c r="L32" s="49"/>
      <c r="M32" s="44"/>
    </row>
    <row r="33" spans="1:13">
      <c r="A33" s="44"/>
      <c r="B33" s="379" t="s">
        <v>37</v>
      </c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</row>
    <row r="34" spans="1:13">
      <c r="A34" s="44"/>
      <c r="B34" s="45"/>
      <c r="C34" s="50"/>
      <c r="D34" s="44"/>
      <c r="E34" s="79"/>
      <c r="F34" s="46"/>
      <c r="G34" s="44"/>
      <c r="H34" s="112"/>
      <c r="I34" s="47"/>
      <c r="J34" s="51"/>
      <c r="K34" s="49"/>
      <c r="L34" s="49"/>
      <c r="M34" s="9"/>
    </row>
    <row r="35" spans="1:13">
      <c r="A35" s="44"/>
      <c r="B35" s="388" t="s">
        <v>38</v>
      </c>
      <c r="C35" s="388"/>
      <c r="D35" s="388"/>
      <c r="E35" s="388"/>
      <c r="F35" s="388"/>
      <c r="G35" s="44"/>
      <c r="H35" s="59"/>
      <c r="I35" s="389" t="s">
        <v>168</v>
      </c>
      <c r="J35" s="389"/>
      <c r="K35" s="389"/>
      <c r="L35" s="389"/>
      <c r="M35" s="389"/>
    </row>
    <row r="36" spans="1:13">
      <c r="A36" s="44"/>
      <c r="B36" s="379" t="s">
        <v>39</v>
      </c>
      <c r="C36" s="379"/>
      <c r="D36" s="379"/>
      <c r="E36" s="379"/>
      <c r="F36" s="379"/>
      <c r="G36" s="44"/>
      <c r="H36" s="59"/>
      <c r="I36" s="380" t="s">
        <v>40</v>
      </c>
      <c r="J36" s="380"/>
      <c r="K36" s="380"/>
      <c r="L36" s="380"/>
      <c r="M36" s="380"/>
    </row>
    <row r="37" spans="1:13">
      <c r="A37" s="44"/>
      <c r="B37" s="379" t="s">
        <v>41</v>
      </c>
      <c r="C37" s="379"/>
      <c r="D37" s="379"/>
      <c r="E37" s="379"/>
      <c r="F37" s="379"/>
      <c r="G37" s="44"/>
      <c r="H37" s="59"/>
      <c r="I37" s="380" t="s">
        <v>42</v>
      </c>
      <c r="J37" s="380"/>
      <c r="K37" s="380"/>
      <c r="L37" s="380"/>
      <c r="M37" s="380"/>
    </row>
    <row r="38" spans="1:13">
      <c r="A38" s="9"/>
      <c r="B38" s="8"/>
      <c r="C38" s="50"/>
      <c r="D38" s="9"/>
      <c r="E38" s="61"/>
      <c r="F38" s="52"/>
      <c r="G38" s="9"/>
      <c r="H38" s="59"/>
      <c r="I38" s="381" t="s">
        <v>43</v>
      </c>
      <c r="J38" s="381"/>
      <c r="K38" s="381"/>
      <c r="L38" s="381"/>
      <c r="M38" s="381"/>
    </row>
    <row r="39" spans="1:13">
      <c r="A39" s="9"/>
      <c r="B39" s="8"/>
      <c r="C39" s="50"/>
      <c r="D39" s="9"/>
      <c r="E39" s="61"/>
      <c r="F39" s="52"/>
      <c r="G39" s="9"/>
      <c r="H39" s="124"/>
      <c r="I39" s="53"/>
      <c r="J39" s="51"/>
      <c r="K39" s="49"/>
      <c r="L39" s="49"/>
      <c r="M39" s="9"/>
    </row>
    <row r="40" spans="1:13">
      <c r="A40" s="9"/>
      <c r="B40" s="8"/>
      <c r="C40" s="50"/>
      <c r="D40" s="9"/>
      <c r="E40" s="61"/>
      <c r="F40" s="52"/>
      <c r="G40" s="9"/>
      <c r="H40" s="124"/>
      <c r="I40" s="53"/>
      <c r="J40" s="51"/>
      <c r="K40" s="49"/>
      <c r="L40" s="49"/>
      <c r="M40" s="9"/>
    </row>
    <row r="41" spans="1:13">
      <c r="A41" s="9"/>
      <c r="B41" s="8"/>
      <c r="C41" s="50"/>
      <c r="D41" s="9"/>
      <c r="E41" s="61"/>
      <c r="F41" s="52"/>
      <c r="G41" s="9"/>
      <c r="H41" s="124"/>
      <c r="I41" s="53"/>
      <c r="J41" s="51"/>
      <c r="K41" s="49"/>
      <c r="L41" s="49"/>
      <c r="M41" s="9"/>
    </row>
    <row r="42" spans="1:13">
      <c r="A42" s="9"/>
      <c r="B42" s="8"/>
      <c r="C42" s="50"/>
      <c r="D42" s="9"/>
      <c r="E42" s="61"/>
      <c r="F42" s="52"/>
      <c r="G42" s="9"/>
      <c r="H42" s="124"/>
      <c r="I42" s="53"/>
      <c r="J42" s="51"/>
      <c r="K42" s="49"/>
      <c r="L42" s="49"/>
      <c r="M42" s="9"/>
    </row>
    <row r="43" spans="1:13">
      <c r="A43" s="9"/>
      <c r="B43" s="8"/>
      <c r="C43" s="50"/>
      <c r="D43" s="9"/>
      <c r="E43" s="61"/>
      <c r="F43" s="52"/>
      <c r="G43" s="9"/>
      <c r="H43" s="124"/>
      <c r="I43" s="382"/>
      <c r="J43" s="382"/>
      <c r="K43" s="382"/>
      <c r="L43" s="382"/>
      <c r="M43" s="382"/>
    </row>
    <row r="44" spans="1:13">
      <c r="A44" s="9"/>
      <c r="B44" s="384" t="s">
        <v>44</v>
      </c>
      <c r="C44" s="384"/>
      <c r="D44" s="9"/>
      <c r="E44" s="61"/>
      <c r="F44" s="52"/>
      <c r="G44" s="9"/>
      <c r="H44" s="124"/>
      <c r="I44" s="53"/>
      <c r="J44" s="51"/>
      <c r="K44" s="49"/>
      <c r="L44" s="49"/>
      <c r="M44" s="9"/>
    </row>
    <row r="45" spans="1:13">
      <c r="A45" s="9"/>
      <c r="B45" s="383" t="s">
        <v>45</v>
      </c>
      <c r="C45" s="383"/>
      <c r="D45" s="383"/>
      <c r="E45" s="383"/>
      <c r="F45" s="383"/>
      <c r="G45" s="383"/>
      <c r="H45" s="125"/>
      <c r="I45" s="54"/>
      <c r="J45" s="55"/>
      <c r="K45" s="49"/>
      <c r="L45" s="49"/>
      <c r="M45" s="9"/>
    </row>
    <row r="46" spans="1:13">
      <c r="A46" s="9"/>
      <c r="B46" s="383" t="s">
        <v>46</v>
      </c>
      <c r="C46" s="383"/>
      <c r="D46" s="383"/>
      <c r="E46" s="383"/>
      <c r="F46" s="383"/>
      <c r="G46" s="383"/>
      <c r="H46" s="383"/>
      <c r="I46" s="383"/>
      <c r="J46" s="51"/>
      <c r="K46" s="49"/>
      <c r="L46" s="49"/>
      <c r="M46" s="9"/>
    </row>
    <row r="47" spans="1:13">
      <c r="A47" s="9"/>
      <c r="B47" s="378" t="s">
        <v>47</v>
      </c>
      <c r="C47" s="378"/>
      <c r="D47" s="378"/>
      <c r="E47" s="378"/>
      <c r="F47" s="378"/>
      <c r="G47" s="378"/>
      <c r="H47" s="378"/>
      <c r="I47" s="378"/>
      <c r="J47" s="378"/>
      <c r="K47" s="378"/>
      <c r="L47" s="378"/>
      <c r="M47" s="378"/>
    </row>
    <row r="48" spans="1:13">
      <c r="A48" s="9"/>
      <c r="B48" s="378" t="s">
        <v>48</v>
      </c>
      <c r="C48" s="378"/>
      <c r="D48" s="378"/>
      <c r="E48" s="378"/>
      <c r="F48" s="378"/>
      <c r="G48" s="378"/>
      <c r="H48" s="378"/>
      <c r="I48" s="378"/>
      <c r="J48" s="378"/>
      <c r="K48" s="378"/>
      <c r="L48" s="378"/>
      <c r="M48" s="378"/>
    </row>
    <row r="49" spans="1:13">
      <c r="A49" s="9"/>
      <c r="B49" s="378" t="s">
        <v>49</v>
      </c>
      <c r="C49" s="378"/>
      <c r="D49" s="378"/>
      <c r="E49" s="378"/>
      <c r="F49" s="378"/>
      <c r="G49" s="378"/>
      <c r="H49" s="378"/>
      <c r="I49" s="378"/>
      <c r="J49" s="378"/>
      <c r="K49" s="378"/>
      <c r="L49" s="378"/>
      <c r="M49" s="378"/>
    </row>
    <row r="50" spans="1:13">
      <c r="A50" s="9"/>
      <c r="B50" s="8"/>
      <c r="C50" s="50"/>
      <c r="D50" s="9"/>
      <c r="E50" s="61"/>
      <c r="F50" s="52"/>
      <c r="G50" s="9"/>
      <c r="H50" s="124"/>
      <c r="I50" s="53"/>
      <c r="J50" s="51"/>
      <c r="K50" s="49"/>
      <c r="L50" s="49"/>
      <c r="M50" s="9"/>
    </row>
  </sheetData>
  <autoFilter ref="A10:M25"/>
  <sortState ref="B33:M43">
    <sortCondition ref="E33:E43"/>
  </sortState>
  <mergeCells count="41">
    <mergeCell ref="B25:M25"/>
    <mergeCell ref="K9:K10"/>
    <mergeCell ref="M9:M10"/>
    <mergeCell ref="B12:M12"/>
    <mergeCell ref="B14:H14"/>
    <mergeCell ref="B15:M15"/>
    <mergeCell ref="B17:H17"/>
    <mergeCell ref="B18:M18"/>
    <mergeCell ref="B20:H20"/>
    <mergeCell ref="B21:M21"/>
    <mergeCell ref="B24:H24"/>
    <mergeCell ref="L9:L10"/>
    <mergeCell ref="B27:H27"/>
    <mergeCell ref="B29:I29"/>
    <mergeCell ref="B30:I30"/>
    <mergeCell ref="B31:I31"/>
    <mergeCell ref="B35:F35"/>
    <mergeCell ref="I35:M35"/>
    <mergeCell ref="B33:M33"/>
    <mergeCell ref="B49:M49"/>
    <mergeCell ref="B36:F36"/>
    <mergeCell ref="I36:M36"/>
    <mergeCell ref="B37:F37"/>
    <mergeCell ref="I37:M37"/>
    <mergeCell ref="I38:M38"/>
    <mergeCell ref="I43:M43"/>
    <mergeCell ref="B45:G45"/>
    <mergeCell ref="B46:I46"/>
    <mergeCell ref="B47:M47"/>
    <mergeCell ref="B48:M48"/>
    <mergeCell ref="B44:C44"/>
    <mergeCell ref="B3:G3"/>
    <mergeCell ref="B4:G4"/>
    <mergeCell ref="B6:M6"/>
    <mergeCell ref="B9:B10"/>
    <mergeCell ref="C9:F9"/>
    <mergeCell ref="G9:G10"/>
    <mergeCell ref="H9:H10"/>
    <mergeCell ref="I9:I10"/>
    <mergeCell ref="J9:J10"/>
    <mergeCell ref="B7:M7"/>
  </mergeCells>
  <phoneticPr fontId="2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VAT declaration </vt:lpstr>
      <vt:lpstr>02 GTGT đầu vào</vt:lpstr>
      <vt:lpstr>01 GTGT bán ra</vt:lpstr>
      <vt:lpstr>'VAT declaration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</dc:creator>
  <cp:lastModifiedBy>admin</cp:lastModifiedBy>
  <dcterms:created xsi:type="dcterms:W3CDTF">2019-07-10T04:25:22Z</dcterms:created>
  <dcterms:modified xsi:type="dcterms:W3CDTF">2026-04-19T15:00:52Z</dcterms:modified>
</cp:coreProperties>
</file>